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ug" sheetId="2" state="visible" r:id="rId4"/>
    <sheet name="Sept" sheetId="3" state="visible" r:id="rId5"/>
    <sheet name="Oct" sheetId="4" state="visible" r:id="rId6"/>
    <sheet name="Nov" sheetId="5" state="visible" r:id="rId7"/>
    <sheet name="Dec" sheetId="6" state="visible" r:id="rId8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<sst xmlns="http://schemas.openxmlformats.org/spreadsheetml/2006/main" count="370" uniqueCount="57">
  <si>
    <t xml:space="preserve">Cookbook Dashboard</t>
  </si>
  <si>
    <t xml:space="preserve">All Months</t>
  </si>
  <si>
    <t xml:space="preserve">New People</t>
  </si>
  <si>
    <t xml:space="preserve">Intro Asks</t>
  </si>
  <si>
    <t xml:space="preserve">Floor Walks</t>
  </si>
  <si>
    <t xml:space="preserve">Quote F-Ups</t>
  </si>
  <si>
    <t xml:space="preserve">Seed Touches</t>
  </si>
  <si>
    <t xml:space="preserve">Total:</t>
  </si>
  <si>
    <t xml:space="preserve">Perfect Weeks (5 of 5)</t>
  </si>
  <si>
    <t xml:space="preserve">% of Committed Behaviors</t>
  </si>
  <si>
    <t xml:space="preserve">By Month</t>
  </si>
  <si>
    <t xml:space="preserve">Month</t>
  </si>
  <si>
    <t xml:space="preserve">Weeks</t>
  </si>
  <si>
    <t xml:space="preserve">Perfect Wks</t>
  </si>
  <si>
    <t xml:space="preserve">% of Committed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</si>
  <si>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</si>
  <si>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</si>
  <si>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</si>
  <si>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</si>
  <si>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</si>
  <si>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What Counts</t>
  </si>
  <si>
    <t xml:space="preserve">New People: a real conversation with someone new inside a GROW account - name captured.</t>
  </si>
  <si>
    <t xml:space="preserve">Intro Asks: a sister-site or referral ask made to a champion. Asked is what counts, not answered.</t>
  </si>
  <si>
    <t xml:space="preserve">Floor Walks: walked part of a site and left a punch list behind.</t>
  </si>
  <si>
    <t xml:space="preserve">Quote F-Ups: touched a stalled quote - call, email, or in person.</t>
  </si>
  <si>
    <t xml:space="preserve">Seed Touches: a SEED-list touch carrying a reference story or referral. Cold doesn't count.</t>
  </si>
  <si>
    <t xml:space="preserve">Notes</t>
  </si>
  <si>
    <t xml:space="preserve">Weekly goals sit in the yellow cells on each month tab - change them week by week with Dan.</t>
  </si>
  <si>
    <t xml:space="preserve">Every block is a full Mon-Fri week. A week crossing two months sits whole in the month holding its Wednesday.</t>
  </si>
  <si>
    <t xml:space="preserve">Weekly Goals:</t>
  </si>
  <si>
    <t xml:space="preserve">To Go:</t>
  </si>
  <si>
    <t xml:space="preserve">August Totals</t>
  </si>
  <si>
    <t xml:space="preserve">Aug 17 - 21</t>
  </si>
  <si>
    <t xml:space="preserve">Goals Hit (of 5)</t>
  </si>
  <si>
    <t xml:space="preserve">Aug 24 - 28</t>
  </si>
  <si>
    <t xml:space="preserve">September Totals</t>
  </si>
  <si>
    <t xml:space="preserve">Aug 31 - Sep 4</t>
  </si>
  <si>
    <t xml:space="preserve">Sep 7 - 11</t>
  </si>
  <si>
    <t xml:space="preserve">Sep 14 - 18</t>
  </si>
  <si>
    <t xml:space="preserve">Sep 21 - 25</t>
  </si>
  <si>
    <t xml:space="preserve">Sep 28 - Oct 2</t>
  </si>
  <si>
    <t xml:space="preserve">October Totals</t>
  </si>
  <si>
    <t xml:space="preserve">Oct 5 - 9</t>
  </si>
  <si>
    <t xml:space="preserve">Oct 12 - 16</t>
  </si>
  <si>
    <t xml:space="preserve">Oct 19 - 23</t>
  </si>
  <si>
    <t xml:space="preserve">Oct 26 - 30</t>
  </si>
  <si>
    <t xml:space="preserve">November Totals</t>
  </si>
  <si>
    <t xml:space="preserve">Nov 2 - 6</t>
  </si>
  <si>
    <t xml:space="preserve">Nov 9 - 13</t>
  </si>
  <si>
    <t xml:space="preserve">Nov 16 - 20</t>
  </si>
  <si>
    <t xml:space="preserve">Nov 23 - 27</t>
  </si>
  <si>
    <t xml:space="preserve">December Totals</t>
  </si>
  <si>
    <t xml:space="preserve">Nov 30 - Dec 4</t>
  </si>
  <si>
    <t xml:space="preserve">Dec 7 - 11</t>
  </si>
  <si>
    <t xml:space="preserve">Dec 14 - 18</t>
  </si>
  <si>
    <t xml:space="preserve">Dec 21 - 25</t>
  </si>
  <si>
    <t xml:space="preserve">Dec 28 - Jan 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</si>
</sst>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mmmm\ yyyy"/>
    <numFmt numFmtId="168" formatCode="ddd\ mmm\ 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3A3A"/>
      <name val="Arial"/>
      <family val="0"/>
      <charset val="1"/>
    </font>
    <font>
      <b val="true"/>
      <sz val="10"/>
      <color rgb="FF3A3A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3F3F3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5F5F5F"/>
      <name val="Arial"/>
      <family val="0"/>
      <charset val="1"/>
    </font>
    <font>
      <b val="true"/>
      <sz val="10"/>
      <color rgb="FF5F5F5F"/>
      <name val="Arial"/>
      <family val="0"/>
      <charset val="1"/>
    </font>
    <font>
      <b val="true"/>
      <sz val="10"/>
      <color rgb="FFF3F3F3"/>
      <name val="Arial"/>
      <family val="0"/>
      <charset val="1"/>
    </font>
    <font>
      <sz val="10"/>
      <color rgb="FF1F1F1F"/>
      <name val="Arial"/>
      <family val="0"/>
      <charset val="1"/>
    </font>
    <font>
      <sz val="10"/>
      <color rgb="FF7A7A7A"/>
      <name val="Arial"/>
      <family val="0"/>
      <charset val="1"/>
    </font>
    <font>
      <sz val="10"/>
      <color rgb="FF43434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0E0E0"/>
        <bgColor rgb="FFD9EAD3"/>
      </patternFill>
    </fill>
    <fill>
      <patternFill patternType="solid">
        <fgColor rgb="FF4A4A4A"/>
        <bgColor rgb="FF434343"/>
      </patternFill>
    </fill>
    <fill>
      <patternFill patternType="solid">
        <fgColor rgb="FF9E9E9E"/>
        <bgColor rgb="FF9B9B9B"/>
      </patternFill>
    </fill>
    <fill>
      <patternFill patternType="solid">
        <fgColor rgb="FFEEEEEE"/>
        <bgColor rgb="FFF3F3F3"/>
      </patternFill>
    </fill>
    <fill>
      <patternFill patternType="solid">
        <fgColor rgb="FFF7F7F7"/>
        <bgColor rgb="FFF3F3F3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9B9B9B"/>
      </left>
      <right style="thin">
        <color rgb="FF9B9B9B"/>
      </right>
      <top style="thin">
        <color rgb="FF9B9B9B"/>
      </top>
      <bottom style="thin">
        <color rgb="FF9B9B9B"/>
      </bottom>
      <diagonal/>
    </border>
    <border diagonalUp="false" diagonalDown="false">
      <left/>
      <right/>
      <top style="medium">
        <color rgb="FF9B9B9B"/>
      </top>
      <bottom/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/>
      <right/>
      <top/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2" fillId="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38761D"/>
      </font>
      <fill>
        <patternFill>
          <bgColor rgb="FFD9EAD3"/>
        </patternFill>
      </fill>
    </dxf>
    <dxf>
      <font>
        <b val="1"/>
        <color rgb="FF434343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E0E0E0"/>
      <rgbColor rgb="FF7A7A7A"/>
      <rgbColor rgb="FF9E9E9E"/>
      <rgbColor rgb="FF993366"/>
      <rgbColor rgb="FFF7F7F7"/>
      <rgbColor rgb="FFEEEEEE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F5F"/>
      <rgbColor rgb="FF9B9B9B"/>
      <rgbColor rgb="FF4A4A4A"/>
      <rgbColor rgb="FF339966"/>
      <rgbColor rgb="FF003300"/>
      <rgbColor rgb="FF1F1F1F"/>
      <rgbColor rgb="FF993300"/>
      <rgbColor rgb="FF993366"/>
      <rgbColor rgb="FF434343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6"/>
    <col collapsed="false" customWidth="true" hidden="false" outlineLevel="0" max="6" min="3" style="0" width="12.5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2.5"/>
    <col collapsed="false" customWidth="true" hidden="false" outlineLevel="0" max="10" min="10" style="0" width="13.5"/>
  </cols>
  <sheetData>
    <row r="2" customFormat="false" ht="17.35" hidden="false" customHeight="false" outlineLevel="0" collapsed="false">
      <c r="B2" s="1" t="s">
        <v>0</v>
      </c>
    </row>
    <row r="4" customFormat="false" ht="15.7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</row>
    <row r="5" customFormat="false" ht="15.75" hidden="false" customHeight="false" outlineLevel="0" collapsed="false">
      <c r="C5" s="3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customFormat="false" ht="15.75" hidden="false" customHeight="false" outlineLevel="0" collapsed="false">
      <c r="B6" s="5" t="s">
        <v>7</v>
      </c>
      <c r="C6" s="6" t="n">
        <f aca="false">C21</f>
        <v>0</v>
      </c>
      <c r="D6" s="7" t="n">
        <f aca="false">D21</f>
        <v>0</v>
      </c>
      <c r="E6" s="7" t="n">
        <f aca="false">E21</f>
        <v>0</v>
      </c>
      <c r="F6" s="7" t="n">
        <f aca="false">F21</f>
        <v>0</v>
      </c>
      <c r="G6" s="7" t="n">
        <f aca="false">G21</f>
        <v>0</v>
      </c>
    </row>
    <row r="8" customFormat="false" ht="15.75" hidden="false" customHeight="false" outlineLevel="0" collapsed="false">
      <c r="B8" s="8" t="s">
        <v>8</v>
      </c>
      <c r="C8" s="8"/>
    </row>
    <row r="9" customFormat="false" ht="15.75" hidden="false" customHeight="false" outlineLevel="0" collapsed="false">
      <c r="B9" s="9" t="n">
        <f aca="false">SUM(I16:I20)</f>
        <v>0</v>
      </c>
      <c r="C9" s="9"/>
    </row>
    <row r="11" customFormat="false" ht="15.75" hidden="false" customHeight="false" outlineLevel="0" collapsed="false">
      <c r="B11" s="8" t="s">
        <v>9</v>
      </c>
      <c r="C11" s="8"/>
    </row>
    <row r="12" customFormat="false" ht="15.75" hidden="false" customHeight="false" outlineLevel="0" collapsed="false">
      <c r="B12" s="10" t="n">
        <f aca="false">J21</f>
        <v>0</v>
      </c>
      <c r="C12" s="10"/>
    </row>
    <row r="14" customFormat="false" ht="15.75" hidden="false" customHeight="false" outlineLevel="0" collapsed="false">
      <c r="B14" s="2" t="s">
        <v>10</v>
      </c>
      <c r="C14" s="2"/>
      <c r="D14" s="2"/>
      <c r="E14" s="2"/>
      <c r="F14" s="2"/>
      <c r="G14" s="2"/>
      <c r="H14" s="2"/>
      <c r="I14" s="2"/>
      <c r="J14" s="2"/>
    </row>
    <row r="15" customFormat="false" ht="15.75" hidden="false" customHeight="false" outlineLevel="0" collapsed="false">
      <c r="B15" s="11" t="s">
        <v>11</v>
      </c>
      <c r="C15" s="3" t="s">
        <v>2</v>
      </c>
      <c r="D15" s="11" t="s">
        <v>3</v>
      </c>
      <c r="E15" s="11" t="s">
        <v>4</v>
      </c>
      <c r="F15" s="11" t="s">
        <v>5</v>
      </c>
      <c r="G15" s="11" t="s">
        <v>6</v>
      </c>
      <c r="H15" s="11" t="s">
        <v>12</v>
      </c>
      <c r="I15" s="11" t="s">
        <v>13</v>
      </c>
      <c r="J15" s="11" t="s">
        <v>14</v>
      </c>
    </row>
    <row r="16" customFormat="false" ht="15.75" hidden="false" customHeight="false" outlineLevel="0" collapsed="false">
      <c r="B16" s="12" t="s">
        <v>15</v>
      </c>
      <c r="C16" s="13" t="n">
        <f aca="false">Aug!M6</f>
        <v>0</v>
      </c>
      <c r="D16" s="14" t="n">
        <f aca="false">Aug!M7</f>
        <v>0</v>
      </c>
      <c r="E16" s="14" t="n">
        <f aca="false">Aug!M8</f>
        <v>0</v>
      </c>
      <c r="F16" s="14" t="n">
        <f aca="false">Aug!M9</f>
        <v>0</v>
      </c>
      <c r="G16" s="14" t="n">
        <f aca="false">Aug!M10</f>
        <v>0</v>
      </c>
      <c r="H16" s="14" t="n">
        <f aca="false">COUNTIF(Aug!$B$1:$B$500, "Total:")</f>
        <v>2</v>
      </c>
      <c r="I16" s="14" t="n">
        <f aca="false">Aug!L13</f>
        <v>0</v>
      </c>
      <c r="J16" s="15" t="n">
        <f aca="false">IFERROR(SUM(C16:G16)/(SUMIF(Aug!$B$1:$B$500, "Weekly Goals:", Aug!$C$1:$C$500)+SUMIF(Aug!$B$1:$B$500, "Weekly Goals:", Aug!$D$1:$D$500)+SUMIF(Aug!$B$1:$B$500, "Weekly Goals:", Aug!$E$1:$E$500)+SUMIF(Aug!$B$1:$B$500, "Weekly Goals:", Aug!$F$1:$F$500)+SUMIF(Aug!$B$1:$B$500, "Weekly Goals:", Aug!$G$1:$G$500)), 0)</f>
        <v>0</v>
      </c>
    </row>
    <row r="17" customFormat="false" ht="15.75" hidden="false" customHeight="false" outlineLevel="0" collapsed="false">
      <c r="B17" s="16" t="s">
        <v>16</v>
      </c>
      <c r="C17" s="17" t="n">
        <f aca="false">Sept!M6</f>
        <v>0</v>
      </c>
      <c r="D17" s="18" t="n">
        <f aca="false">Sept!M7</f>
        <v>0</v>
      </c>
      <c r="E17" s="18" t="n">
        <f aca="false">Sept!M8</f>
        <v>0</v>
      </c>
      <c r="F17" s="18" t="n">
        <f aca="false">Sept!M9</f>
        <v>0</v>
      </c>
      <c r="G17" s="18" t="n">
        <f aca="false">Sept!M10</f>
        <v>0</v>
      </c>
      <c r="H17" s="18" t="n">
        <f aca="false">COUNTIF(Sept!$B$1:$B$500, "Total:")</f>
        <v>5</v>
      </c>
      <c r="I17" s="18" t="n">
        <f aca="false">Sept!L13</f>
        <v>0</v>
      </c>
      <c r="J17" s="19" t="n">
        <f aca="false">IFERROR(SUM(C17:G17)/(SUMIF(Sept!$B$1:$B$500, "Weekly Goals:", Sept!$C$1:$C$500)+SUMIF(Sept!$B$1:$B$500, "Weekly Goals:", Sept!$D$1:$D$500)+SUMIF(Sept!$B$1:$B$500, "Weekly Goals:", Sept!$E$1:$E$500)+SUMIF(Sept!$B$1:$B$500, "Weekly Goals:", Sept!$F$1:$F$500)+SUMIF(Sept!$B$1:$B$500, "Weekly Goals:", Sept!$G$1:$G$500)), 0)</f>
        <v>0</v>
      </c>
    </row>
    <row r="18" customFormat="false" ht="15.75" hidden="false" customHeight="false" outlineLevel="0" collapsed="false">
      <c r="B18" s="12" t="s">
        <v>17</v>
      </c>
      <c r="C18" s="13" t="n">
        <f aca="false">Oct!M6</f>
        <v>0</v>
      </c>
      <c r="D18" s="14" t="n">
        <f aca="false">Oct!M7</f>
        <v>0</v>
      </c>
      <c r="E18" s="14" t="n">
        <f aca="false">Oct!M8</f>
        <v>0</v>
      </c>
      <c r="F18" s="14" t="n">
        <f aca="false">Oct!M9</f>
        <v>0</v>
      </c>
      <c r="G18" s="14" t="n">
        <f aca="false">Oct!M10</f>
        <v>0</v>
      </c>
      <c r="H18" s="14" t="n">
        <f aca="false">COUNTIF(Oct!$B$1:$B$500, "Total:")</f>
        <v>4</v>
      </c>
      <c r="I18" s="14" t="n">
        <f aca="false">Oct!L13</f>
        <v>0</v>
      </c>
      <c r="J18" s="15" t="n">
        <f aca="false">IFERROR(SUM(C18:G18)/(SUMIF(Oct!$B$1:$B$500, "Weekly Goals:", Oct!$C$1:$C$500)+SUMIF(Oct!$B$1:$B$500, "Weekly Goals:", Oct!$D$1:$D$500)+SUMIF(Oct!$B$1:$B$500, "Weekly Goals:", Oct!$E$1:$E$500)+SUMIF(Oct!$B$1:$B$500, "Weekly Goals:", Oct!$F$1:$F$500)+SUMIF(Oct!$B$1:$B$500, "Weekly Goals:", Oct!$G$1:$G$500)), 0)</f>
        <v>0</v>
      </c>
    </row>
    <row r="19" customFormat="false" ht="15.75" hidden="false" customHeight="false" outlineLevel="0" collapsed="false">
      <c r="B19" s="16" t="s">
        <v>18</v>
      </c>
      <c r="C19" s="17" t="n">
        <f aca="false">Nov!M6</f>
        <v>0</v>
      </c>
      <c r="D19" s="18" t="n">
        <f aca="false">Nov!M7</f>
        <v>0</v>
      </c>
      <c r="E19" s="18" t="n">
        <f aca="false">Nov!M8</f>
        <v>0</v>
      </c>
      <c r="F19" s="18" t="n">
        <f aca="false">Nov!M9</f>
        <v>0</v>
      </c>
      <c r="G19" s="18" t="n">
        <f aca="false">Nov!M10</f>
        <v>0</v>
      </c>
      <c r="H19" s="18" t="n">
        <f aca="false">COUNTIF(Nov!$B$1:$B$500, "Total:")</f>
        <v>4</v>
      </c>
      <c r="I19" s="18" t="n">
        <f aca="false">Nov!L13</f>
        <v>0</v>
      </c>
      <c r="J19" s="19" t="n">
        <f aca="false">IFERROR(SUM(C19:G19)/(SUMIF(Nov!$B$1:$B$500, "Weekly Goals:", Nov!$C$1:$C$500)+SUMIF(Nov!$B$1:$B$500, "Weekly Goals:", Nov!$D$1:$D$500)+SUMIF(Nov!$B$1:$B$500, "Weekly Goals:", Nov!$E$1:$E$500)+SUMIF(Nov!$B$1:$B$500, "Weekly Goals:", Nov!$F$1:$F$500)+SUMIF(Nov!$B$1:$B$500, "Weekly Goals:", Nov!$G$1:$G$500)), 0)</f>
        <v>0</v>
      </c>
    </row>
    <row r="20" customFormat="false" ht="15.75" hidden="false" customHeight="false" outlineLevel="0" collapsed="false">
      <c r="B20" s="12" t="s">
        <v>19</v>
      </c>
      <c r="C20" s="13" t="n">
        <f aca="false">Dec!M6</f>
        <v>0</v>
      </c>
      <c r="D20" s="14" t="n">
        <f aca="false">Dec!M7</f>
        <v>0</v>
      </c>
      <c r="E20" s="14" t="n">
        <f aca="false">Dec!M8</f>
        <v>0</v>
      </c>
      <c r="F20" s="14" t="n">
        <f aca="false">Dec!M9</f>
        <v>0</v>
      </c>
      <c r="G20" s="14" t="n">
        <f aca="false">Dec!M10</f>
        <v>0</v>
      </c>
      <c r="H20" s="14" t="n">
        <f aca="false">COUNTIF(Dec!$B$1:$B$500, "Total:")</f>
        <v>5</v>
      </c>
      <c r="I20" s="14" t="n">
        <f aca="false">Dec!L13</f>
        <v>0</v>
      </c>
      <c r="J20" s="15" t="n">
        <f aca="false">IFERROR(SUM(C20:G20)/(SUMIF(Dec!$B$1:$B$500, "Weekly Goals:", Dec!$C$1:$C$500)+SUMIF(Dec!$B$1:$B$500, "Weekly Goals:", Dec!$D$1:$D$500)+SUMIF(Dec!$B$1:$B$500, "Weekly Goals:", Dec!$E$1:$E$500)+SUMIF(Dec!$B$1:$B$500, "Weekly Goals:", Dec!$F$1:$F$500)+SUMIF(Dec!$B$1:$B$500, "Weekly Goals:", Dec!$G$1:$G$500)), 0)</f>
        <v>0</v>
      </c>
    </row>
    <row r="21" customFormat="false" ht="15.75" hidden="false" customHeight="false" outlineLevel="0" collapsed="false">
      <c r="B21" s="5" t="s">
        <v>7</v>
      </c>
      <c r="C21" s="6" t="n">
        <f aca="false">SUM(C16:C20)</f>
        <v>0</v>
      </c>
      <c r="D21" s="7" t="n">
        <f aca="false">SUM(D16:D20)</f>
        <v>0</v>
      </c>
      <c r="E21" s="7" t="n">
        <f aca="false">SUM(E16:E20)</f>
        <v>0</v>
      </c>
      <c r="F21" s="7" t="n">
        <f aca="false">SUM(F16:F20)</f>
        <v>0</v>
      </c>
      <c r="G21" s="7" t="n">
        <f aca="false">SUM(G16:G20)</f>
        <v>0</v>
      </c>
      <c r="H21" s="7" t="n">
        <f aca="false">SUM(H16:H20)</f>
        <v>20</v>
      </c>
      <c r="I21" s="7" t="n">
        <f aca="false">SUM(I16:I20)</f>
        <v>0</v>
      </c>
      <c r="J21" s="20" t="n">
        <f aca="false">IFERROR(SUM(C21:G21)/(SUMIF(Aug!$B$1:$B$500, "Weekly Goals:", Aug!$C$1:$C$500)+SUMIF(Aug!$B$1:$B$500, "Weekly Goals:", Aug!$D$1:$D$500)+SUMIF(Aug!$B$1:$B$500, "Weekly Goals:", Aug!$E$1:$E$500)+SUMIF(Aug!$B$1:$B$500, "Weekly Goals:", Aug!$F$1:$F$500)+SUMIF(Aug!$B$1:$B$500, "Weekly Goals:", Aug!$G$1:$G$500)+SUMIF(Sept!$B$1:$B$500, "Weekly Goals:", Sept!$C$1:$C$500)+SUMIF(Sept!$B$1:$B$500, "Weekly Goals:", Sept!$D$1:$D$500)+SUMIF(Sept!$B$1:$B$500, "Weekly Goals:", Sept!$E$1:$E$500)+SUMIF(Sept!$B$1:$B$500, "Weekly Goals:", Sept!$F$1:$F$500)+SUMIF(Sept!$B$1:$B$500, "Weekly Goals:", Sept!$G$1:$G$500)+SUMIF(Oct!$B$1:$B$500, "Weekly Goals:", Oct!$C$1:$C$500)+SUMIF(Oct!$B$1:$B$500, "Weekly Goals:", Oct!$D$1:$D$500)+SUMIF(Oct!$B$1:$B$500, "Weekly Goals:", Oct!$E$1:$E$500)+SUMIF(Oct!$B$1:$B$500, "Weekly Goals:", Oct!$F$1:$F$500)+SUMIF(Oct!$B$1:$B$500, "Weekly Goals:", Oct!$G$1:$G$500)+SUMIF(Nov!$B$1:$B$500, "Weekly Goals:", Nov!$C$1:$C$500)+SUMIF(Nov!$B$1:$B$500, "Weekly Goals:", Nov!$D$1:$D$500)+SUMIF(Nov!$B$1:$B$500, "Weekly Goals:", Nov!$E$1:$E$500)+SUMIF(Nov!$B$1:$B$500, "Weekly Goals:", Nov!$F$1:$F$500)+SUMIF(Nov!$B$1:$B$500, "Weekly Goals:", Nov!$G$1:$G$500)+SUMIF(Dec!$B$1:$B$500, "Weekly Goals:", Dec!$C$1:$C$500)+SUMIF(Dec!$B$1:$B$500, "Weekly Goals:", Dec!$D$1:$D$500)+SUMIF(Dec!$B$1:$B$500, "Weekly Goals:", Dec!$E$1:$E$500)+SUMIF(Dec!$B$1:$B$500, "Weekly Goals:", Dec!$F$1:$F$500)+SUMIF(Dec!$B$1:$B$500, "Weekly Goals:", Dec!$G$1:$G$500)), 0)</f>
        <v>0</v>
      </c>
    </row>
    <row r="23" customFormat="false" ht="15.75" hidden="false" customHeight="false" outlineLevel="0" collapsed="false">
      <c r="B23" s="2" t="s">
        <v>20</v>
      </c>
      <c r="C23" s="2"/>
      <c r="D23" s="2"/>
      <c r="E23" s="2"/>
      <c r="F23" s="2"/>
      <c r="G23" s="2"/>
      <c r="H23" s="2"/>
      <c r="I23" s="2"/>
      <c r="J23" s="2"/>
    </row>
    <row r="24" customFormat="false" ht="15.75" hidden="false" customHeight="false" outlineLevel="0" collapsed="false">
      <c r="B24" s="21" t="s">
        <v>21</v>
      </c>
      <c r="C24" s="21"/>
      <c r="D24" s="21"/>
      <c r="E24" s="21"/>
      <c r="F24" s="21"/>
      <c r="G24" s="21"/>
      <c r="H24" s="21"/>
      <c r="I24" s="21"/>
      <c r="J24" s="21"/>
    </row>
    <row r="25" customFormat="false" ht="15.75" hidden="false" customHeight="false" outlineLevel="0" collapsed="false">
      <c r="B25" s="21" t="s">
        <v>22</v>
      </c>
      <c r="C25" s="21"/>
      <c r="D25" s="21"/>
      <c r="E25" s="21"/>
      <c r="F25" s="21"/>
      <c r="G25" s="21"/>
      <c r="H25" s="21"/>
      <c r="I25" s="21"/>
      <c r="J25" s="21"/>
    </row>
    <row r="26" customFormat="false" ht="15.75" hidden="false" customHeight="false" outlineLevel="0" collapsed="false">
      <c r="B26" s="21" t="s">
        <v>23</v>
      </c>
      <c r="C26" s="21"/>
      <c r="D26" s="21"/>
      <c r="E26" s="21"/>
      <c r="F26" s="21"/>
      <c r="G26" s="21"/>
      <c r="H26" s="21"/>
      <c r="I26" s="21"/>
      <c r="J26" s="21"/>
    </row>
    <row r="27" customFormat="false" ht="15.75" hidden="false" customHeight="false" outlineLevel="0" collapsed="false">
      <c r="B27" s="21" t="s">
        <v>24</v>
      </c>
      <c r="C27" s="21"/>
      <c r="D27" s="21"/>
      <c r="E27" s="21"/>
      <c r="F27" s="21"/>
      <c r="G27" s="21"/>
      <c r="H27" s="21"/>
      <c r="I27" s="21"/>
      <c r="J27" s="21"/>
    </row>
    <row r="28" customFormat="false" ht="15.75" hidden="false" customHeight="false" outlineLevel="0" collapsed="false">
      <c r="B28" s="21" t="s">
        <v>25</v>
      </c>
      <c r="C28" s="21"/>
      <c r="D28" s="21"/>
      <c r="E28" s="21"/>
      <c r="F28" s="21"/>
      <c r="G28" s="21"/>
      <c r="H28" s="21"/>
      <c r="I28" s="21"/>
      <c r="J28" s="21"/>
    </row>
    <row r="30" customFormat="false" ht="15.75" hidden="false" customHeight="false" outlineLevel="0" collapsed="false">
      <c r="B30" s="2" t="s">
        <v>26</v>
      </c>
      <c r="C30" s="2"/>
      <c r="D30" s="2"/>
      <c r="E30" s="2"/>
      <c r="F30" s="2"/>
      <c r="G30" s="2"/>
      <c r="H30" s="2"/>
      <c r="I30" s="2"/>
      <c r="J30" s="2"/>
    </row>
    <row r="31" customFormat="false" ht="15.75" hidden="false" customHeight="false" outlineLevel="0" collapsed="false">
      <c r="B31" s="21" t="s">
        <v>27</v>
      </c>
      <c r="C31" s="21"/>
      <c r="D31" s="21"/>
      <c r="E31" s="21"/>
      <c r="F31" s="21"/>
      <c r="G31" s="21"/>
      <c r="H31" s="21"/>
      <c r="I31" s="21"/>
      <c r="J31" s="21"/>
    </row>
    <row r="32" customFormat="false" ht="15.75" hidden="false" customHeight="false" outlineLevel="0" collapsed="false">
      <c r="B32" s="21" t="s">
        <v>28</v>
      </c>
      <c r="C32" s="21"/>
      <c r="D32" s="21"/>
      <c r="E32" s="21"/>
      <c r="F32" s="21"/>
      <c r="G32" s="21"/>
      <c r="H32" s="21"/>
      <c r="I32" s="21"/>
      <c r="J32" s="21"/>
    </row>
  </sheetData>
  <mergeCells count="15">
    <mergeCell ref="B4:J4"/>
    <mergeCell ref="B8:C8"/>
    <mergeCell ref="B9:C9"/>
    <mergeCell ref="B11:C11"/>
    <mergeCell ref="B12:C12"/>
    <mergeCell ref="B14:J14"/>
    <mergeCell ref="B23:J23"/>
    <mergeCell ref="B24:J24"/>
    <mergeCell ref="B25:J25"/>
    <mergeCell ref="B26:J26"/>
    <mergeCell ref="B27:J27"/>
    <mergeCell ref="B28:J28"/>
    <mergeCell ref="B30:J30"/>
    <mergeCell ref="B31:J31"/>
    <mergeCell ref="B32:J32"/>
  </mergeCells>
  <conditionalFormatting sqref="J16:J21">
    <cfRule type="cellIs" priority="2" operator="greaterThanOr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3.38"/>
    <col collapsed="false" customWidth="true" hidden="false" outlineLevel="0" max="6" min="3" style="0" width="12.5"/>
    <col collapsed="false" customWidth="true" hidden="false" outlineLevel="0" max="7" min="7" style="0" width="13"/>
    <col collapsed="false" customWidth="true" hidden="false" outlineLevel="0" max="8" min="8" style="0" width="3.5"/>
    <col collapsed="false" customWidth="true" hidden="false" outlineLevel="0" max="9" min="9" style="0" width="14.51"/>
    <col collapsed="false" customWidth="true" hidden="false" outlineLevel="0" max="10" min="10" style="0" width="13.5"/>
    <col collapsed="false" customWidth="true" hidden="false" outlineLevel="0" max="11" min="11" style="0" width="3.5"/>
    <col collapsed="false" customWidth="true" hidden="false" outlineLevel="0" max="12" min="12" style="0" width="16"/>
    <col collapsed="false" customWidth="true" hidden="false" outlineLevel="0" max="13" min="13" style="0" width="11"/>
  </cols>
  <sheetData>
    <row r="2" customFormat="false" ht="15.75" hidden="false" customHeight="false" outlineLevel="0" collapsed="false">
      <c r="B2" s="22" t="n">
        <v>46235</v>
      </c>
      <c r="C2" s="22"/>
    </row>
    <row r="4" customFormat="false" ht="15.75" hidden="false" customHeight="false" outlineLevel="0" collapsed="false">
      <c r="B4" s="23" t="s">
        <v>29</v>
      </c>
      <c r="C4" s="24" t="n">
        <v>3</v>
      </c>
      <c r="D4" s="24" t="n">
        <v>1</v>
      </c>
      <c r="E4" s="24" t="n">
        <v>1</v>
      </c>
      <c r="F4" s="24" t="n">
        <v>5</v>
      </c>
      <c r="G4" s="24" t="n">
        <v>2</v>
      </c>
    </row>
    <row r="5" customFormat="false" ht="15.75" hidden="false" customHeight="false" outlineLevel="0" collapsed="false">
      <c r="B5" s="23" t="s">
        <v>30</v>
      </c>
      <c r="C5" s="25" t="n">
        <f aca="false">IF(C4="", "", C4-SUM(C7:C11))</f>
        <v>3</v>
      </c>
      <c r="D5" s="25" t="n">
        <f aca="false">IF(D4="", "", D4-SUM(D7:D11))</f>
        <v>1</v>
      </c>
      <c r="E5" s="25" t="n">
        <f aca="false">IF(E4="", "", E4-SUM(E7:E11))</f>
        <v>1</v>
      </c>
      <c r="F5" s="25" t="n">
        <f aca="false">IF(F4="", "", F4-SUM(F7:F11))</f>
        <v>5</v>
      </c>
      <c r="G5" s="25" t="n">
        <f aca="false">IF(G4="", "", G4-SUM(G7:G11))</f>
        <v>2</v>
      </c>
      <c r="L5" s="8" t="s">
        <v>31</v>
      </c>
      <c r="M5" s="8"/>
    </row>
    <row r="6" customFormat="false" ht="15.75" hidden="false" customHeight="false" outlineLevel="0" collapsed="false">
      <c r="C6" s="3" t="s">
        <v>2</v>
      </c>
      <c r="D6" s="4" t="s">
        <v>3</v>
      </c>
      <c r="E6" s="4" t="s">
        <v>4</v>
      </c>
      <c r="F6" s="4" t="s">
        <v>5</v>
      </c>
      <c r="G6" s="4" t="s">
        <v>6</v>
      </c>
      <c r="I6" s="8" t="s">
        <v>32</v>
      </c>
      <c r="J6" s="8"/>
      <c r="L6" s="26" t="s">
        <v>2</v>
      </c>
      <c r="M6" s="27" t="n">
        <f aca="false">SUM(J7,J19)</f>
        <v>0</v>
      </c>
    </row>
    <row r="7" customFormat="false" ht="15.75" hidden="false" customHeight="false" outlineLevel="0" collapsed="false">
      <c r="B7" s="28" t="n">
        <v>46251</v>
      </c>
      <c r="C7" s="29"/>
      <c r="D7" s="14"/>
      <c r="E7" s="14"/>
      <c r="F7" s="14"/>
      <c r="G7" s="14"/>
      <c r="I7" s="30" t="s">
        <v>2</v>
      </c>
      <c r="J7" s="29" t="str">
        <f aca="false">IFERROR(IF(C13=0, "", C13), "")</f>
        <v/>
      </c>
      <c r="L7" s="26" t="s">
        <v>3</v>
      </c>
      <c r="M7" s="27" t="n">
        <f aca="false">SUM(J8,J20)</f>
        <v>0</v>
      </c>
    </row>
    <row r="8" customFormat="false" ht="15.75" hidden="false" customHeight="false" outlineLevel="0" collapsed="false">
      <c r="B8" s="31" t="n">
        <f aca="false">B7+1</f>
        <v>46252</v>
      </c>
      <c r="C8" s="32"/>
      <c r="D8" s="18"/>
      <c r="E8" s="18"/>
      <c r="F8" s="18"/>
      <c r="G8" s="18"/>
      <c r="I8" s="30" t="s">
        <v>3</v>
      </c>
      <c r="J8" s="14" t="str">
        <f aca="false">IFERROR(IF(D13=0, "", D13), "")</f>
        <v/>
      </c>
      <c r="L8" s="26" t="s">
        <v>4</v>
      </c>
      <c r="M8" s="27" t="n">
        <f aca="false">SUM(J9,J21)</f>
        <v>0</v>
      </c>
    </row>
    <row r="9" customFormat="false" ht="15.75" hidden="false" customHeight="false" outlineLevel="0" collapsed="false">
      <c r="B9" s="28" t="n">
        <f aca="false">B8+1</f>
        <v>46253</v>
      </c>
      <c r="C9" s="29"/>
      <c r="D9" s="14"/>
      <c r="E9" s="14"/>
      <c r="F9" s="14"/>
      <c r="G9" s="14"/>
      <c r="I9" s="30" t="s">
        <v>4</v>
      </c>
      <c r="J9" s="14" t="str">
        <f aca="false">IFERROR(IF(E13=0, "", E13), "")</f>
        <v/>
      </c>
      <c r="L9" s="26" t="s">
        <v>5</v>
      </c>
      <c r="M9" s="27" t="n">
        <f aca="false">SUM(J10,J22)</f>
        <v>0</v>
      </c>
    </row>
    <row r="10" customFormat="false" ht="15.75" hidden="false" customHeight="false" outlineLevel="0" collapsed="false">
      <c r="B10" s="31" t="n">
        <f aca="false">B9+1</f>
        <v>46254</v>
      </c>
      <c r="C10" s="32"/>
      <c r="D10" s="18"/>
      <c r="E10" s="18"/>
      <c r="F10" s="18"/>
      <c r="G10" s="18"/>
      <c r="I10" s="30" t="s">
        <v>5</v>
      </c>
      <c r="J10" s="14" t="str">
        <f aca="false">IFERROR(IF(F13=0, "", F13), "")</f>
        <v/>
      </c>
      <c r="L10" s="26" t="s">
        <v>6</v>
      </c>
      <c r="M10" s="27" t="n">
        <f aca="false">SUM(J11,J23)</f>
        <v>0</v>
      </c>
    </row>
    <row r="11" customFormat="false" ht="15.75" hidden="false" customHeight="false" outlineLevel="0" collapsed="false">
      <c r="B11" s="28" t="n">
        <f aca="false">B10+1</f>
        <v>46255</v>
      </c>
      <c r="C11" s="29"/>
      <c r="D11" s="14"/>
      <c r="E11" s="14"/>
      <c r="F11" s="14"/>
      <c r="G11" s="14"/>
      <c r="I11" s="30" t="s">
        <v>6</v>
      </c>
      <c r="J11" s="14" t="str">
        <f aca="false">IFERROR(IF(G13=0, "", G13), "")</f>
        <v/>
      </c>
    </row>
    <row r="12" customFormat="false" ht="15.75" hidden="false" customHeight="false" outlineLevel="0" collapsed="false">
      <c r="I12" s="30" t="s">
        <v>33</v>
      </c>
      <c r="J12" s="27" t="n">
        <f aca="false">IF(COUNT(C4:G4)=0, "", (SUM(C7:C11)&gt;=C4)+(SUM(D7:D11)&gt;=D4)+(SUM(E7:E11)&gt;=E4)+(SUM(F7:F11)&gt;=F4)+(SUM(G7:G11)&gt;=G4))</f>
        <v>0</v>
      </c>
      <c r="L12" s="8" t="s">
        <v>8</v>
      </c>
      <c r="M12" s="8"/>
    </row>
    <row r="13" customFormat="false" ht="15.75" hidden="false" customHeight="false" outlineLevel="0" collapsed="false">
      <c r="B13" s="5" t="s">
        <v>7</v>
      </c>
      <c r="C13" s="6" t="str">
        <f aca="false">IFERROR(IF(SUM(C7:C11)=0, "", SUM(C7:C11)), "")</f>
        <v/>
      </c>
      <c r="D13" s="7" t="str">
        <f aca="false">IFERROR(IF(SUM(D7:D11)=0, "", SUM(D7:D11)), "")</f>
        <v/>
      </c>
      <c r="E13" s="7" t="str">
        <f aca="false">IFERROR(IF(SUM(E7:E11)=0, "", SUM(E7:E11)), "")</f>
        <v/>
      </c>
      <c r="F13" s="7" t="str">
        <f aca="false">IFERROR(IF(SUM(F7:F11)=0, "", SUM(F7:F11)), "")</f>
        <v/>
      </c>
      <c r="G13" s="7" t="str">
        <f aca="false">IFERROR(IF(SUM(G7:G11)=0, "", SUM(G7:G11)), "")</f>
        <v/>
      </c>
      <c r="L13" s="9" t="n">
        <f aca="false">(J12=5)+(J24=5)</f>
        <v>0</v>
      </c>
      <c r="M13" s="9"/>
    </row>
    <row r="16" customFormat="false" ht="15.75" hidden="false" customHeight="false" outlineLevel="0" collapsed="false">
      <c r="B16" s="23" t="s">
        <v>29</v>
      </c>
      <c r="C16" s="24" t="n">
        <v>3</v>
      </c>
      <c r="D16" s="24" t="n">
        <v>1</v>
      </c>
      <c r="E16" s="24" t="n">
        <v>1</v>
      </c>
      <c r="F16" s="24" t="n">
        <v>5</v>
      </c>
      <c r="G16" s="24" t="n">
        <v>2</v>
      </c>
    </row>
    <row r="17" customFormat="false" ht="15.75" hidden="false" customHeight="false" outlineLevel="0" collapsed="false">
      <c r="B17" s="23" t="s">
        <v>30</v>
      </c>
      <c r="C17" s="25" t="n">
        <f aca="false">IF(C16="", "", C16-SUM(C19:C23))</f>
        <v>3</v>
      </c>
      <c r="D17" s="25" t="n">
        <f aca="false">IF(D16="", "", D16-SUM(D19:D23))</f>
        <v>1</v>
      </c>
      <c r="E17" s="25" t="n">
        <f aca="false">IF(E16="", "", E16-SUM(E19:E23))</f>
        <v>1</v>
      </c>
      <c r="F17" s="25" t="n">
        <f aca="false">IF(F16="", "", F16-SUM(F19:F23))</f>
        <v>5</v>
      </c>
      <c r="G17" s="25" t="n">
        <f aca="false">IF(G16="", "", G16-SUM(G19:G23))</f>
        <v>2</v>
      </c>
    </row>
    <row r="18" customFormat="false" ht="15.75" hidden="false" customHeight="false" outlineLevel="0" collapsed="false">
      <c r="C18" s="3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I18" s="8" t="s">
        <v>34</v>
      </c>
      <c r="J18" s="8"/>
    </row>
    <row r="19" customFormat="false" ht="15.75" hidden="false" customHeight="false" outlineLevel="0" collapsed="false">
      <c r="B19" s="28" t="n">
        <v>46258</v>
      </c>
      <c r="C19" s="29"/>
      <c r="D19" s="14"/>
      <c r="E19" s="14"/>
      <c r="F19" s="14"/>
      <c r="G19" s="14"/>
      <c r="I19" s="30" t="s">
        <v>2</v>
      </c>
      <c r="J19" s="29" t="str">
        <f aca="false">IFERROR(IF(C25=0, "", C25), "")</f>
        <v/>
      </c>
    </row>
    <row r="20" customFormat="false" ht="15.75" hidden="false" customHeight="false" outlineLevel="0" collapsed="false">
      <c r="B20" s="31" t="n">
        <f aca="false">B19+1</f>
        <v>46259</v>
      </c>
      <c r="C20" s="32"/>
      <c r="D20" s="18"/>
      <c r="E20" s="18"/>
      <c r="F20" s="18"/>
      <c r="G20" s="18"/>
      <c r="I20" s="30" t="s">
        <v>3</v>
      </c>
      <c r="J20" s="14" t="str">
        <f aca="false">IFERROR(IF(D25=0, "", D25), "")</f>
        <v/>
      </c>
    </row>
    <row r="21" customFormat="false" ht="15.75" hidden="false" customHeight="false" outlineLevel="0" collapsed="false">
      <c r="B21" s="28" t="n">
        <f aca="false">B20+1</f>
        <v>46260</v>
      </c>
      <c r="C21" s="29"/>
      <c r="D21" s="14"/>
      <c r="E21" s="14"/>
      <c r="F21" s="14"/>
      <c r="G21" s="14"/>
      <c r="I21" s="30" t="s">
        <v>4</v>
      </c>
      <c r="J21" s="14" t="str">
        <f aca="false">IFERROR(IF(E25=0, "", E25), "")</f>
        <v/>
      </c>
    </row>
    <row r="22" customFormat="false" ht="15.75" hidden="false" customHeight="false" outlineLevel="0" collapsed="false">
      <c r="B22" s="31" t="n">
        <f aca="false">B21+1</f>
        <v>46261</v>
      </c>
      <c r="C22" s="32"/>
      <c r="D22" s="18"/>
      <c r="E22" s="18"/>
      <c r="F22" s="18"/>
      <c r="G22" s="18"/>
      <c r="I22" s="30" t="s">
        <v>5</v>
      </c>
      <c r="J22" s="14" t="str">
        <f aca="false">IFERROR(IF(F25=0, "", F25), "")</f>
        <v/>
      </c>
    </row>
    <row r="23" customFormat="false" ht="15.75" hidden="false" customHeight="false" outlineLevel="0" collapsed="false">
      <c r="B23" s="28" t="n">
        <f aca="false">B22+1</f>
        <v>46262</v>
      </c>
      <c r="C23" s="29"/>
      <c r="D23" s="14"/>
      <c r="E23" s="14"/>
      <c r="F23" s="14"/>
      <c r="G23" s="14"/>
      <c r="I23" s="30" t="s">
        <v>6</v>
      </c>
      <c r="J23" s="14" t="str">
        <f aca="false">IFERROR(IF(G25=0, "", G25), "")</f>
        <v/>
      </c>
    </row>
    <row r="24" customFormat="false" ht="15.75" hidden="false" customHeight="false" outlineLevel="0" collapsed="false">
      <c r="I24" s="30" t="s">
        <v>33</v>
      </c>
      <c r="J24" s="27" t="n">
        <f aca="false">IF(COUNT(C16:G16)=0, "", (SUM(C19:C23)&gt;=C16)+(SUM(D19:D23)&gt;=D16)+(SUM(E19:E23)&gt;=E16)+(SUM(F19:F23)&gt;=F16)+(SUM(G19:G23)&gt;=G16))</f>
        <v>0</v>
      </c>
    </row>
    <row r="25" customFormat="false" ht="15.75" hidden="false" customHeight="false" outlineLevel="0" collapsed="false">
      <c r="B25" s="5" t="s">
        <v>7</v>
      </c>
      <c r="C25" s="6" t="str">
        <f aca="false">IFERROR(IF(SUM(C19:C23)=0, "", SUM(C19:C23)), "")</f>
        <v/>
      </c>
      <c r="D25" s="7" t="str">
        <f aca="false">IFERROR(IF(SUM(D19:D23)=0, "", SUM(D19:D23)), "")</f>
        <v/>
      </c>
      <c r="E25" s="7" t="str">
        <f aca="false">IFERROR(IF(SUM(E19:E23)=0, "", SUM(E19:E23)), "")</f>
        <v/>
      </c>
      <c r="F25" s="7" t="str">
        <f aca="false">IFERROR(IF(SUM(F19:F23)=0, "", SUM(F19:F23)), "")</f>
        <v/>
      </c>
      <c r="G25" s="7" t="str">
        <f aca="false">IFERROR(IF(SUM(G19:G23)=0, "", SUM(G19:G23)), "")</f>
        <v/>
      </c>
    </row>
  </sheetData>
  <mergeCells count="6">
    <mergeCell ref="B2:C2"/>
    <mergeCell ref="L5:M5"/>
    <mergeCell ref="I6:J6"/>
    <mergeCell ref="L12:M12"/>
    <mergeCell ref="L13:M13"/>
    <mergeCell ref="I18:J18"/>
  </mergeCells>
  <conditionalFormatting sqref="C5 C17 D5 D17 E5 E17 F5 F17 G5 G17">
    <cfRule type="cellIs" priority="2" operator="lessThanOrEqual" aboveAverage="0" equalAverage="0" bottom="0" percent="0" rank="0" text="" dxfId="0">
      <formula>0</formula>
    </cfRule>
  </conditionalFormatting>
  <conditionalFormatting sqref="J12 J24">
    <cfRule type="cellIs" priority="3" operator="greaterThanOrEqual" aboveAverage="0" equalAverage="0" bottom="0" percent="0" rank="0" text="" dxfId="0">
      <formula>5</formula>
    </cfRule>
  </conditionalFormatting>
  <conditionalFormatting sqref="B6:B13 B18:B25">
    <cfRule type="timePeriod" priority="4" timePeriod="today" dxfId="1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3.38"/>
    <col collapsed="false" customWidth="true" hidden="false" outlineLevel="0" max="6" min="3" style="0" width="12.5"/>
    <col collapsed="false" customWidth="true" hidden="false" outlineLevel="0" max="7" min="7" style="0" width="13"/>
    <col collapsed="false" customWidth="true" hidden="false" outlineLevel="0" max="8" min="8" style="0" width="3.5"/>
    <col collapsed="false" customWidth="true" hidden="false" outlineLevel="0" max="9" min="9" style="0" width="14.51"/>
    <col collapsed="false" customWidth="true" hidden="false" outlineLevel="0" max="10" min="10" style="0" width="13.5"/>
    <col collapsed="false" customWidth="true" hidden="false" outlineLevel="0" max="11" min="11" style="0" width="3.5"/>
    <col collapsed="false" customWidth="true" hidden="false" outlineLevel="0" max="12" min="12" style="0" width="16"/>
    <col collapsed="false" customWidth="true" hidden="false" outlineLevel="0" max="13" min="13" style="0" width="11"/>
  </cols>
  <sheetData>
    <row r="2" customFormat="false" ht="15.75" hidden="false" customHeight="false" outlineLevel="0" collapsed="false">
      <c r="B2" s="22" t="n">
        <v>46266</v>
      </c>
      <c r="C2" s="22"/>
    </row>
    <row r="4" customFormat="false" ht="15.75" hidden="false" customHeight="false" outlineLevel="0" collapsed="false">
      <c r="B4" s="23" t="s">
        <v>29</v>
      </c>
      <c r="C4" s="24" t="n">
        <v>3</v>
      </c>
      <c r="D4" s="24" t="n">
        <v>1</v>
      </c>
      <c r="E4" s="24" t="n">
        <v>1</v>
      </c>
      <c r="F4" s="24" t="n">
        <v>5</v>
      </c>
      <c r="G4" s="24" t="n">
        <v>2</v>
      </c>
    </row>
    <row r="5" customFormat="false" ht="15.75" hidden="false" customHeight="false" outlineLevel="0" collapsed="false">
      <c r="B5" s="23" t="s">
        <v>30</v>
      </c>
      <c r="C5" s="25" t="n">
        <f aca="false">IF(C4="", "", C4-SUM(C7:C11))</f>
        <v>3</v>
      </c>
      <c r="D5" s="25" t="n">
        <f aca="false">IF(D4="", "", D4-SUM(D7:D11))</f>
        <v>1</v>
      </c>
      <c r="E5" s="25" t="n">
        <f aca="false">IF(E4="", "", E4-SUM(E7:E11))</f>
        <v>1</v>
      </c>
      <c r="F5" s="25" t="n">
        <f aca="false">IF(F4="", "", F4-SUM(F7:F11))</f>
        <v>5</v>
      </c>
      <c r="G5" s="25" t="n">
        <f aca="false">IF(G4="", "", G4-SUM(G7:G11))</f>
        <v>2</v>
      </c>
      <c r="L5" s="8" t="s">
        <v>35</v>
      </c>
      <c r="M5" s="8"/>
    </row>
    <row r="6" customFormat="false" ht="15.75" hidden="false" customHeight="false" outlineLevel="0" collapsed="false">
      <c r="C6" s="3" t="s">
        <v>2</v>
      </c>
      <c r="D6" s="4" t="s">
        <v>3</v>
      </c>
      <c r="E6" s="4" t="s">
        <v>4</v>
      </c>
      <c r="F6" s="4" t="s">
        <v>5</v>
      </c>
      <c r="G6" s="4" t="s">
        <v>6</v>
      </c>
      <c r="I6" s="8" t="s">
        <v>36</v>
      </c>
      <c r="J6" s="8"/>
      <c r="L6" s="26" t="s">
        <v>2</v>
      </c>
      <c r="M6" s="27" t="n">
        <f aca="false">SUM(J7,J19,J31,J43,J55)</f>
        <v>0</v>
      </c>
    </row>
    <row r="7" customFormat="false" ht="15.75" hidden="false" customHeight="false" outlineLevel="0" collapsed="false">
      <c r="B7" s="28" t="n">
        <v>46265</v>
      </c>
      <c r="C7" s="29"/>
      <c r="D7" s="14"/>
      <c r="E7" s="14"/>
      <c r="F7" s="14"/>
      <c r="G7" s="14"/>
      <c r="I7" s="30" t="s">
        <v>2</v>
      </c>
      <c r="J7" s="29" t="str">
        <f aca="false">IFERROR(IF(C13=0, "", C13), "")</f>
        <v/>
      </c>
      <c r="L7" s="26" t="s">
        <v>3</v>
      </c>
      <c r="M7" s="27" t="n">
        <f aca="false">SUM(J8,J20,J32,J44,J56)</f>
        <v>0</v>
      </c>
    </row>
    <row r="8" customFormat="false" ht="15.75" hidden="false" customHeight="false" outlineLevel="0" collapsed="false">
      <c r="B8" s="31" t="n">
        <f aca="false">B7+1</f>
        <v>46266</v>
      </c>
      <c r="C8" s="32"/>
      <c r="D8" s="18"/>
      <c r="E8" s="18"/>
      <c r="F8" s="18"/>
      <c r="G8" s="18"/>
      <c r="I8" s="30" t="s">
        <v>3</v>
      </c>
      <c r="J8" s="14" t="str">
        <f aca="false">IFERROR(IF(D13=0, "", D13), "")</f>
        <v/>
      </c>
      <c r="L8" s="26" t="s">
        <v>4</v>
      </c>
      <c r="M8" s="27" t="n">
        <f aca="false">SUM(J9,J21,J33,J45,J57)</f>
        <v>0</v>
      </c>
    </row>
    <row r="9" customFormat="false" ht="15.75" hidden="false" customHeight="false" outlineLevel="0" collapsed="false">
      <c r="B9" s="28" t="n">
        <f aca="false">B8+1</f>
        <v>46267</v>
      </c>
      <c r="C9" s="29"/>
      <c r="D9" s="14"/>
      <c r="E9" s="14"/>
      <c r="F9" s="14"/>
      <c r="G9" s="14"/>
      <c r="I9" s="30" t="s">
        <v>4</v>
      </c>
      <c r="J9" s="14" t="str">
        <f aca="false">IFERROR(IF(E13=0, "", E13), "")</f>
        <v/>
      </c>
      <c r="L9" s="26" t="s">
        <v>5</v>
      </c>
      <c r="M9" s="27" t="n">
        <f aca="false">SUM(J10,J22,J34,J46,J58)</f>
        <v>0</v>
      </c>
    </row>
    <row r="10" customFormat="false" ht="15.75" hidden="false" customHeight="false" outlineLevel="0" collapsed="false">
      <c r="B10" s="31" t="n">
        <f aca="false">B9+1</f>
        <v>46268</v>
      </c>
      <c r="C10" s="32"/>
      <c r="D10" s="18"/>
      <c r="E10" s="18"/>
      <c r="F10" s="18"/>
      <c r="G10" s="18"/>
      <c r="I10" s="30" t="s">
        <v>5</v>
      </c>
      <c r="J10" s="14" t="str">
        <f aca="false">IFERROR(IF(F13=0, "", F13), "")</f>
        <v/>
      </c>
      <c r="L10" s="26" t="s">
        <v>6</v>
      </c>
      <c r="M10" s="27" t="n">
        <f aca="false">SUM(J11,J23,J35,J47,J59)</f>
        <v>0</v>
      </c>
    </row>
    <row r="11" customFormat="false" ht="15.75" hidden="false" customHeight="false" outlineLevel="0" collapsed="false">
      <c r="B11" s="28" t="n">
        <f aca="false">B10+1</f>
        <v>46269</v>
      </c>
      <c r="C11" s="29"/>
      <c r="D11" s="14"/>
      <c r="E11" s="14"/>
      <c r="F11" s="14"/>
      <c r="G11" s="14"/>
      <c r="I11" s="30" t="s">
        <v>6</v>
      </c>
      <c r="J11" s="14" t="str">
        <f aca="false">IFERROR(IF(G13=0, "", G13), "")</f>
        <v/>
      </c>
    </row>
    <row r="12" customFormat="false" ht="15.75" hidden="false" customHeight="false" outlineLevel="0" collapsed="false">
      <c r="I12" s="30" t="s">
        <v>33</v>
      </c>
      <c r="J12" s="27" t="n">
        <f aca="false">IF(COUNT(C4:G4)=0, "", (SUM(C7:C11)&gt;=C4)+(SUM(D7:D11)&gt;=D4)+(SUM(E7:E11)&gt;=E4)+(SUM(F7:F11)&gt;=F4)+(SUM(G7:G11)&gt;=G4))</f>
        <v>0</v>
      </c>
      <c r="L12" s="8" t="s">
        <v>8</v>
      </c>
      <c r="M12" s="8"/>
    </row>
    <row r="13" customFormat="false" ht="15.75" hidden="false" customHeight="false" outlineLevel="0" collapsed="false">
      <c r="B13" s="5" t="s">
        <v>7</v>
      </c>
      <c r="C13" s="6" t="str">
        <f aca="false">IFERROR(IF(SUM(C7:C11)=0, "", SUM(C7:C11)), "")</f>
        <v/>
      </c>
      <c r="D13" s="7" t="str">
        <f aca="false">IFERROR(IF(SUM(D7:D11)=0, "", SUM(D7:D11)), "")</f>
        <v/>
      </c>
      <c r="E13" s="7" t="str">
        <f aca="false">IFERROR(IF(SUM(E7:E11)=0, "", SUM(E7:E11)), "")</f>
        <v/>
      </c>
      <c r="F13" s="7" t="str">
        <f aca="false">IFERROR(IF(SUM(F7:F11)=0, "", SUM(F7:F11)), "")</f>
        <v/>
      </c>
      <c r="G13" s="7" t="str">
        <f aca="false">IFERROR(IF(SUM(G7:G11)=0, "", SUM(G7:G11)), "")</f>
        <v/>
      </c>
      <c r="L13" s="9" t="n">
        <f aca="false">(J12=5)+(J24=5)+(J36=5)+(J48=5)+(J60=5)</f>
        <v>0</v>
      </c>
      <c r="M13" s="9"/>
    </row>
    <row r="16" customFormat="false" ht="15.75" hidden="false" customHeight="false" outlineLevel="0" collapsed="false">
      <c r="B16" s="23" t="s">
        <v>29</v>
      </c>
      <c r="C16" s="24" t="n">
        <v>3</v>
      </c>
      <c r="D16" s="24" t="n">
        <v>1</v>
      </c>
      <c r="E16" s="24" t="n">
        <v>1</v>
      </c>
      <c r="F16" s="24" t="n">
        <v>5</v>
      </c>
      <c r="G16" s="24" t="n">
        <v>2</v>
      </c>
    </row>
    <row r="17" customFormat="false" ht="15.75" hidden="false" customHeight="false" outlineLevel="0" collapsed="false">
      <c r="B17" s="23" t="s">
        <v>30</v>
      </c>
      <c r="C17" s="25" t="n">
        <f aca="false">IF(C16="", "", C16-SUM(C19:C23))</f>
        <v>3</v>
      </c>
      <c r="D17" s="25" t="n">
        <f aca="false">IF(D16="", "", D16-SUM(D19:D23))</f>
        <v>1</v>
      </c>
      <c r="E17" s="25" t="n">
        <f aca="false">IF(E16="", "", E16-SUM(E19:E23))</f>
        <v>1</v>
      </c>
      <c r="F17" s="25" t="n">
        <f aca="false">IF(F16="", "", F16-SUM(F19:F23))</f>
        <v>5</v>
      </c>
      <c r="G17" s="25" t="n">
        <f aca="false">IF(G16="", "", G16-SUM(G19:G23))</f>
        <v>2</v>
      </c>
    </row>
    <row r="18" customFormat="false" ht="15.75" hidden="false" customHeight="false" outlineLevel="0" collapsed="false">
      <c r="C18" s="3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I18" s="8" t="s">
        <v>37</v>
      </c>
      <c r="J18" s="8"/>
    </row>
    <row r="19" customFormat="false" ht="15.75" hidden="false" customHeight="false" outlineLevel="0" collapsed="false">
      <c r="B19" s="28" t="n">
        <v>46272</v>
      </c>
      <c r="C19" s="29"/>
      <c r="D19" s="14"/>
      <c r="E19" s="14"/>
      <c r="F19" s="14"/>
      <c r="G19" s="14"/>
      <c r="I19" s="30" t="s">
        <v>2</v>
      </c>
      <c r="J19" s="29" t="str">
        <f aca="false">IFERROR(IF(C25=0, "", C25), "")</f>
        <v/>
      </c>
    </row>
    <row r="20" customFormat="false" ht="15.75" hidden="false" customHeight="false" outlineLevel="0" collapsed="false">
      <c r="B20" s="31" t="n">
        <f aca="false">B19+1</f>
        <v>46273</v>
      </c>
      <c r="C20" s="32"/>
      <c r="D20" s="18"/>
      <c r="E20" s="18"/>
      <c r="F20" s="18"/>
      <c r="G20" s="18"/>
      <c r="I20" s="30" t="s">
        <v>3</v>
      </c>
      <c r="J20" s="14" t="str">
        <f aca="false">IFERROR(IF(D25=0, "", D25), "")</f>
        <v/>
      </c>
    </row>
    <row r="21" customFormat="false" ht="15.75" hidden="false" customHeight="false" outlineLevel="0" collapsed="false">
      <c r="B21" s="28" t="n">
        <f aca="false">B20+1</f>
        <v>46274</v>
      </c>
      <c r="C21" s="29"/>
      <c r="D21" s="14"/>
      <c r="E21" s="14"/>
      <c r="F21" s="14"/>
      <c r="G21" s="14"/>
      <c r="I21" s="30" t="s">
        <v>4</v>
      </c>
      <c r="J21" s="14" t="str">
        <f aca="false">IFERROR(IF(E25=0, "", E25), "")</f>
        <v/>
      </c>
    </row>
    <row r="22" customFormat="false" ht="15.75" hidden="false" customHeight="false" outlineLevel="0" collapsed="false">
      <c r="B22" s="31" t="n">
        <f aca="false">B21+1</f>
        <v>46275</v>
      </c>
      <c r="C22" s="32"/>
      <c r="D22" s="18"/>
      <c r="E22" s="18"/>
      <c r="F22" s="18"/>
      <c r="G22" s="18"/>
      <c r="I22" s="30" t="s">
        <v>5</v>
      </c>
      <c r="J22" s="14" t="str">
        <f aca="false">IFERROR(IF(F25=0, "", F25), "")</f>
        <v/>
      </c>
    </row>
    <row r="23" customFormat="false" ht="15.75" hidden="false" customHeight="false" outlineLevel="0" collapsed="false">
      <c r="B23" s="28" t="n">
        <f aca="false">B22+1</f>
        <v>46276</v>
      </c>
      <c r="C23" s="29"/>
      <c r="D23" s="14"/>
      <c r="E23" s="14"/>
      <c r="F23" s="14"/>
      <c r="G23" s="14"/>
      <c r="I23" s="30" t="s">
        <v>6</v>
      </c>
      <c r="J23" s="14" t="str">
        <f aca="false">IFERROR(IF(G25=0, "", G25), "")</f>
        <v/>
      </c>
    </row>
    <row r="24" customFormat="false" ht="15.75" hidden="false" customHeight="false" outlineLevel="0" collapsed="false">
      <c r="I24" s="30" t="s">
        <v>33</v>
      </c>
      <c r="J24" s="27" t="n">
        <f aca="false">IF(COUNT(C16:G16)=0, "", (SUM(C19:C23)&gt;=C16)+(SUM(D19:D23)&gt;=D16)+(SUM(E19:E23)&gt;=E16)+(SUM(F19:F23)&gt;=F16)+(SUM(G19:G23)&gt;=G16))</f>
        <v>0</v>
      </c>
    </row>
    <row r="25" customFormat="false" ht="15.75" hidden="false" customHeight="false" outlineLevel="0" collapsed="false">
      <c r="B25" s="5" t="s">
        <v>7</v>
      </c>
      <c r="C25" s="6" t="str">
        <f aca="false">IFERROR(IF(SUM(C19:C23)=0, "", SUM(C19:C23)), "")</f>
        <v/>
      </c>
      <c r="D25" s="7" t="str">
        <f aca="false">IFERROR(IF(SUM(D19:D23)=0, "", SUM(D19:D23)), "")</f>
        <v/>
      </c>
      <c r="E25" s="7" t="str">
        <f aca="false">IFERROR(IF(SUM(E19:E23)=0, "", SUM(E19:E23)), "")</f>
        <v/>
      </c>
      <c r="F25" s="7" t="str">
        <f aca="false">IFERROR(IF(SUM(F19:F23)=0, "", SUM(F19:F23)), "")</f>
        <v/>
      </c>
      <c r="G25" s="7" t="str">
        <f aca="false">IFERROR(IF(SUM(G19:G23)=0, "", SUM(G19:G23)), "")</f>
        <v/>
      </c>
    </row>
    <row r="28" customFormat="false" ht="15.75" hidden="false" customHeight="false" outlineLevel="0" collapsed="false">
      <c r="B28" s="23" t="s">
        <v>29</v>
      </c>
      <c r="C28" s="24" t="n">
        <v>3</v>
      </c>
      <c r="D28" s="24" t="n">
        <v>1</v>
      </c>
      <c r="E28" s="24" t="n">
        <v>1</v>
      </c>
      <c r="F28" s="24" t="n">
        <v>5</v>
      </c>
      <c r="G28" s="24" t="n">
        <v>2</v>
      </c>
    </row>
    <row r="29" customFormat="false" ht="15.75" hidden="false" customHeight="false" outlineLevel="0" collapsed="false">
      <c r="B29" s="23" t="s">
        <v>30</v>
      </c>
      <c r="C29" s="25" t="n">
        <f aca="false">IF(C28="", "", C28-SUM(C31:C35))</f>
        <v>3</v>
      </c>
      <c r="D29" s="25" t="n">
        <f aca="false">IF(D28="", "", D28-SUM(D31:D35))</f>
        <v>1</v>
      </c>
      <c r="E29" s="25" t="n">
        <f aca="false">IF(E28="", "", E28-SUM(E31:E35))</f>
        <v>1</v>
      </c>
      <c r="F29" s="25" t="n">
        <f aca="false">IF(F28="", "", F28-SUM(F31:F35))</f>
        <v>5</v>
      </c>
      <c r="G29" s="25" t="n">
        <f aca="false">IF(G28="", "", G28-SUM(G31:G35))</f>
        <v>2</v>
      </c>
    </row>
    <row r="30" customFormat="false" ht="15.75" hidden="false" customHeight="false" outlineLevel="0" collapsed="false">
      <c r="C30" s="3" t="s">
        <v>2</v>
      </c>
      <c r="D30" s="4" t="s">
        <v>3</v>
      </c>
      <c r="E30" s="4" t="s">
        <v>4</v>
      </c>
      <c r="F30" s="4" t="s">
        <v>5</v>
      </c>
      <c r="G30" s="4" t="s">
        <v>6</v>
      </c>
      <c r="I30" s="8" t="s">
        <v>38</v>
      </c>
      <c r="J30" s="8"/>
    </row>
    <row r="31" customFormat="false" ht="15.75" hidden="false" customHeight="false" outlineLevel="0" collapsed="false">
      <c r="B31" s="28" t="n">
        <v>46279</v>
      </c>
      <c r="C31" s="29"/>
      <c r="D31" s="14"/>
      <c r="E31" s="14"/>
      <c r="F31" s="14"/>
      <c r="G31" s="14"/>
      <c r="I31" s="30" t="s">
        <v>2</v>
      </c>
      <c r="J31" s="29" t="str">
        <f aca="false">IFERROR(IF(C37=0, "", C37), "")</f>
        <v/>
      </c>
    </row>
    <row r="32" customFormat="false" ht="15.75" hidden="false" customHeight="false" outlineLevel="0" collapsed="false">
      <c r="B32" s="31" t="n">
        <f aca="false">B31+1</f>
        <v>46280</v>
      </c>
      <c r="C32" s="32"/>
      <c r="D32" s="18"/>
      <c r="E32" s="18"/>
      <c r="F32" s="18"/>
      <c r="G32" s="18"/>
      <c r="I32" s="30" t="s">
        <v>3</v>
      </c>
      <c r="J32" s="14" t="str">
        <f aca="false">IFERROR(IF(D37=0, "", D37), "")</f>
        <v/>
      </c>
    </row>
    <row r="33" customFormat="false" ht="15.75" hidden="false" customHeight="false" outlineLevel="0" collapsed="false">
      <c r="B33" s="28" t="n">
        <f aca="false">B32+1</f>
        <v>46281</v>
      </c>
      <c r="C33" s="29"/>
      <c r="D33" s="14"/>
      <c r="E33" s="14"/>
      <c r="F33" s="14"/>
      <c r="G33" s="14"/>
      <c r="I33" s="30" t="s">
        <v>4</v>
      </c>
      <c r="J33" s="14" t="str">
        <f aca="false">IFERROR(IF(E37=0, "", E37), "")</f>
        <v/>
      </c>
    </row>
    <row r="34" customFormat="false" ht="15.75" hidden="false" customHeight="false" outlineLevel="0" collapsed="false">
      <c r="B34" s="31" t="n">
        <f aca="false">B33+1</f>
        <v>46282</v>
      </c>
      <c r="C34" s="32"/>
      <c r="D34" s="18"/>
      <c r="E34" s="18"/>
      <c r="F34" s="18"/>
      <c r="G34" s="18"/>
      <c r="I34" s="30" t="s">
        <v>5</v>
      </c>
      <c r="J34" s="14" t="str">
        <f aca="false">IFERROR(IF(F37=0, "", F37), "")</f>
        <v/>
      </c>
    </row>
    <row r="35" customFormat="false" ht="15.75" hidden="false" customHeight="false" outlineLevel="0" collapsed="false">
      <c r="B35" s="28" t="n">
        <f aca="false">B34+1</f>
        <v>46283</v>
      </c>
      <c r="C35" s="29"/>
      <c r="D35" s="14"/>
      <c r="E35" s="14"/>
      <c r="F35" s="14"/>
      <c r="G35" s="14"/>
      <c r="I35" s="30" t="s">
        <v>6</v>
      </c>
      <c r="J35" s="14" t="str">
        <f aca="false">IFERROR(IF(G37=0, "", G37), "")</f>
        <v/>
      </c>
    </row>
    <row r="36" customFormat="false" ht="15.75" hidden="false" customHeight="false" outlineLevel="0" collapsed="false">
      <c r="I36" s="30" t="s">
        <v>33</v>
      </c>
      <c r="J36" s="27" t="n">
        <f aca="false">IF(COUNT(C28:G28)=0, "", (SUM(C31:C35)&gt;=C28)+(SUM(D31:D35)&gt;=D28)+(SUM(E31:E35)&gt;=E28)+(SUM(F31:F35)&gt;=F28)+(SUM(G31:G35)&gt;=G28))</f>
        <v>0</v>
      </c>
    </row>
    <row r="37" customFormat="false" ht="15.75" hidden="false" customHeight="false" outlineLevel="0" collapsed="false">
      <c r="B37" s="5" t="s">
        <v>7</v>
      </c>
      <c r="C37" s="6" t="str">
        <f aca="false">IFERROR(IF(SUM(C31:C35)=0, "", SUM(C31:C35)), "")</f>
        <v/>
      </c>
      <c r="D37" s="7" t="str">
        <f aca="false">IFERROR(IF(SUM(D31:D35)=0, "", SUM(D31:D35)), "")</f>
        <v/>
      </c>
      <c r="E37" s="7" t="str">
        <f aca="false">IFERROR(IF(SUM(E31:E35)=0, "", SUM(E31:E35)), "")</f>
        <v/>
      </c>
      <c r="F37" s="7" t="str">
        <f aca="false">IFERROR(IF(SUM(F31:F35)=0, "", SUM(F31:F35)), "")</f>
        <v/>
      </c>
      <c r="G37" s="7" t="str">
        <f aca="false">IFERROR(IF(SUM(G31:G35)=0, "", SUM(G31:G35)), "")</f>
        <v/>
      </c>
    </row>
    <row r="40" customFormat="false" ht="15.75" hidden="false" customHeight="false" outlineLevel="0" collapsed="false">
      <c r="B40" s="23" t="s">
        <v>29</v>
      </c>
      <c r="C40" s="24" t="n">
        <v>3</v>
      </c>
      <c r="D40" s="24" t="n">
        <v>1</v>
      </c>
      <c r="E40" s="24" t="n">
        <v>1</v>
      </c>
      <c r="F40" s="24" t="n">
        <v>5</v>
      </c>
      <c r="G40" s="24" t="n">
        <v>2</v>
      </c>
    </row>
    <row r="41" customFormat="false" ht="15.75" hidden="false" customHeight="false" outlineLevel="0" collapsed="false">
      <c r="B41" s="23" t="s">
        <v>30</v>
      </c>
      <c r="C41" s="25" t="n">
        <f aca="false">IF(C40="", "", C40-SUM(C43:C47))</f>
        <v>3</v>
      </c>
      <c r="D41" s="25" t="n">
        <f aca="false">IF(D40="", "", D40-SUM(D43:D47))</f>
        <v>1</v>
      </c>
      <c r="E41" s="25" t="n">
        <f aca="false">IF(E40="", "", E40-SUM(E43:E47))</f>
        <v>1</v>
      </c>
      <c r="F41" s="25" t="n">
        <f aca="false">IF(F40="", "", F40-SUM(F43:F47))</f>
        <v>5</v>
      </c>
      <c r="G41" s="25" t="n">
        <f aca="false">IF(G40="", "", G40-SUM(G43:G47))</f>
        <v>2</v>
      </c>
    </row>
    <row r="42" customFormat="false" ht="15.75" hidden="false" customHeight="false" outlineLevel="0" collapsed="false">
      <c r="C42" s="3" t="s">
        <v>2</v>
      </c>
      <c r="D42" s="4" t="s">
        <v>3</v>
      </c>
      <c r="E42" s="4" t="s">
        <v>4</v>
      </c>
      <c r="F42" s="4" t="s">
        <v>5</v>
      </c>
      <c r="G42" s="4" t="s">
        <v>6</v>
      </c>
      <c r="I42" s="8" t="s">
        <v>39</v>
      </c>
      <c r="J42" s="8"/>
    </row>
    <row r="43" customFormat="false" ht="15.75" hidden="false" customHeight="false" outlineLevel="0" collapsed="false">
      <c r="B43" s="28" t="n">
        <v>46286</v>
      </c>
      <c r="C43" s="29"/>
      <c r="D43" s="14"/>
      <c r="E43" s="14"/>
      <c r="F43" s="14"/>
      <c r="G43" s="14"/>
      <c r="I43" s="30" t="s">
        <v>2</v>
      </c>
      <c r="J43" s="29" t="str">
        <f aca="false">IFERROR(IF(C49=0, "", C49), "")</f>
        <v/>
      </c>
    </row>
    <row r="44" customFormat="false" ht="15.75" hidden="false" customHeight="false" outlineLevel="0" collapsed="false">
      <c r="B44" s="31" t="n">
        <f aca="false">B43+1</f>
        <v>46287</v>
      </c>
      <c r="C44" s="32"/>
      <c r="D44" s="18"/>
      <c r="E44" s="18"/>
      <c r="F44" s="18"/>
      <c r="G44" s="18"/>
      <c r="I44" s="30" t="s">
        <v>3</v>
      </c>
      <c r="J44" s="14" t="str">
        <f aca="false">IFERROR(IF(D49=0, "", D49), "")</f>
        <v/>
      </c>
    </row>
    <row r="45" customFormat="false" ht="15.75" hidden="false" customHeight="false" outlineLevel="0" collapsed="false">
      <c r="B45" s="28" t="n">
        <f aca="false">B44+1</f>
        <v>46288</v>
      </c>
      <c r="C45" s="29"/>
      <c r="D45" s="14"/>
      <c r="E45" s="14"/>
      <c r="F45" s="14"/>
      <c r="G45" s="14"/>
      <c r="I45" s="30" t="s">
        <v>4</v>
      </c>
      <c r="J45" s="14" t="str">
        <f aca="false">IFERROR(IF(E49=0, "", E49), "")</f>
        <v/>
      </c>
    </row>
    <row r="46" customFormat="false" ht="15.75" hidden="false" customHeight="false" outlineLevel="0" collapsed="false">
      <c r="B46" s="31" t="n">
        <f aca="false">B45+1</f>
        <v>46289</v>
      </c>
      <c r="C46" s="32"/>
      <c r="D46" s="18"/>
      <c r="E46" s="18"/>
      <c r="F46" s="18"/>
      <c r="G46" s="18"/>
      <c r="I46" s="30" t="s">
        <v>5</v>
      </c>
      <c r="J46" s="14" t="str">
        <f aca="false">IFERROR(IF(F49=0, "", F49), "")</f>
        <v/>
      </c>
    </row>
    <row r="47" customFormat="false" ht="15.75" hidden="false" customHeight="false" outlineLevel="0" collapsed="false">
      <c r="B47" s="28" t="n">
        <f aca="false">B46+1</f>
        <v>46290</v>
      </c>
      <c r="C47" s="29"/>
      <c r="D47" s="14"/>
      <c r="E47" s="14"/>
      <c r="F47" s="14"/>
      <c r="G47" s="14"/>
      <c r="I47" s="30" t="s">
        <v>6</v>
      </c>
      <c r="J47" s="14" t="str">
        <f aca="false">IFERROR(IF(G49=0, "", G49), "")</f>
        <v/>
      </c>
    </row>
    <row r="48" customFormat="false" ht="15.75" hidden="false" customHeight="false" outlineLevel="0" collapsed="false">
      <c r="I48" s="30" t="s">
        <v>33</v>
      </c>
      <c r="J48" s="27" t="n">
        <f aca="false">IF(COUNT(C40:G40)=0, "", (SUM(C43:C47)&gt;=C40)+(SUM(D43:D47)&gt;=D40)+(SUM(E43:E47)&gt;=E40)+(SUM(F43:F47)&gt;=F40)+(SUM(G43:G47)&gt;=G40))</f>
        <v>0</v>
      </c>
    </row>
    <row r="49" customFormat="false" ht="15.75" hidden="false" customHeight="false" outlineLevel="0" collapsed="false">
      <c r="B49" s="5" t="s">
        <v>7</v>
      </c>
      <c r="C49" s="6" t="str">
        <f aca="false">IFERROR(IF(SUM(C43:C47)=0, "", SUM(C43:C47)), "")</f>
        <v/>
      </c>
      <c r="D49" s="7" t="str">
        <f aca="false">IFERROR(IF(SUM(D43:D47)=0, "", SUM(D43:D47)), "")</f>
        <v/>
      </c>
      <c r="E49" s="7" t="str">
        <f aca="false">IFERROR(IF(SUM(E43:E47)=0, "", SUM(E43:E47)), "")</f>
        <v/>
      </c>
      <c r="F49" s="7" t="str">
        <f aca="false">IFERROR(IF(SUM(F43:F47)=0, "", SUM(F43:F47)), "")</f>
        <v/>
      </c>
      <c r="G49" s="7" t="str">
        <f aca="false">IFERROR(IF(SUM(G43:G47)=0, "", SUM(G43:G47)), "")</f>
        <v/>
      </c>
    </row>
    <row r="52" customFormat="false" ht="15.75" hidden="false" customHeight="false" outlineLevel="0" collapsed="false">
      <c r="B52" s="23" t="s">
        <v>29</v>
      </c>
      <c r="C52" s="24" t="n">
        <v>3</v>
      </c>
      <c r="D52" s="24" t="n">
        <v>1</v>
      </c>
      <c r="E52" s="24" t="n">
        <v>1</v>
      </c>
      <c r="F52" s="24" t="n">
        <v>5</v>
      </c>
      <c r="G52" s="24" t="n">
        <v>2</v>
      </c>
    </row>
    <row r="53" customFormat="false" ht="15.75" hidden="false" customHeight="false" outlineLevel="0" collapsed="false">
      <c r="B53" s="23" t="s">
        <v>30</v>
      </c>
      <c r="C53" s="25" t="n">
        <f aca="false">IF(C52="", "", C52-SUM(C55:C59))</f>
        <v>3</v>
      </c>
      <c r="D53" s="25" t="n">
        <f aca="false">IF(D52="", "", D52-SUM(D55:D59))</f>
        <v>1</v>
      </c>
      <c r="E53" s="25" t="n">
        <f aca="false">IF(E52="", "", E52-SUM(E55:E59))</f>
        <v>1</v>
      </c>
      <c r="F53" s="25" t="n">
        <f aca="false">IF(F52="", "", F52-SUM(F55:F59))</f>
        <v>5</v>
      </c>
      <c r="G53" s="25" t="n">
        <f aca="false">IF(G52="", "", G52-SUM(G55:G59))</f>
        <v>2</v>
      </c>
    </row>
    <row r="54" customFormat="false" ht="15.75" hidden="false" customHeight="false" outlineLevel="0" collapsed="false">
      <c r="C54" s="3" t="s">
        <v>2</v>
      </c>
      <c r="D54" s="4" t="s">
        <v>3</v>
      </c>
      <c r="E54" s="4" t="s">
        <v>4</v>
      </c>
      <c r="F54" s="4" t="s">
        <v>5</v>
      </c>
      <c r="G54" s="4" t="s">
        <v>6</v>
      </c>
      <c r="I54" s="8" t="s">
        <v>40</v>
      </c>
      <c r="J54" s="8"/>
    </row>
    <row r="55" customFormat="false" ht="15.75" hidden="false" customHeight="false" outlineLevel="0" collapsed="false">
      <c r="B55" s="28" t="n">
        <v>46293</v>
      </c>
      <c r="C55" s="29"/>
      <c r="D55" s="14"/>
      <c r="E55" s="14"/>
      <c r="F55" s="14"/>
      <c r="G55" s="14"/>
      <c r="I55" s="30" t="s">
        <v>2</v>
      </c>
      <c r="J55" s="29" t="str">
        <f aca="false">IFERROR(IF(C61=0, "", C61), "")</f>
        <v/>
      </c>
    </row>
    <row r="56" customFormat="false" ht="15.75" hidden="false" customHeight="false" outlineLevel="0" collapsed="false">
      <c r="B56" s="31" t="n">
        <f aca="false">B55+1</f>
        <v>46294</v>
      </c>
      <c r="C56" s="32"/>
      <c r="D56" s="18"/>
      <c r="E56" s="18"/>
      <c r="F56" s="18"/>
      <c r="G56" s="18"/>
      <c r="I56" s="30" t="s">
        <v>3</v>
      </c>
      <c r="J56" s="14" t="str">
        <f aca="false">IFERROR(IF(D61=0, "", D61), "")</f>
        <v/>
      </c>
    </row>
    <row r="57" customFormat="false" ht="15.75" hidden="false" customHeight="false" outlineLevel="0" collapsed="false">
      <c r="B57" s="28" t="n">
        <f aca="false">B56+1</f>
        <v>46295</v>
      </c>
      <c r="C57" s="29"/>
      <c r="D57" s="14"/>
      <c r="E57" s="14"/>
      <c r="F57" s="14"/>
      <c r="G57" s="14"/>
      <c r="I57" s="30" t="s">
        <v>4</v>
      </c>
      <c r="J57" s="14" t="str">
        <f aca="false">IFERROR(IF(E61=0, "", E61), "")</f>
        <v/>
      </c>
    </row>
    <row r="58" customFormat="false" ht="15.75" hidden="false" customHeight="false" outlineLevel="0" collapsed="false">
      <c r="B58" s="31" t="n">
        <f aca="false">B57+1</f>
        <v>46296</v>
      </c>
      <c r="C58" s="32"/>
      <c r="D58" s="18"/>
      <c r="E58" s="18"/>
      <c r="F58" s="18"/>
      <c r="G58" s="18"/>
      <c r="I58" s="30" t="s">
        <v>5</v>
      </c>
      <c r="J58" s="14" t="str">
        <f aca="false">IFERROR(IF(F61=0, "", F61), "")</f>
        <v/>
      </c>
    </row>
    <row r="59" customFormat="false" ht="15.75" hidden="false" customHeight="false" outlineLevel="0" collapsed="false">
      <c r="B59" s="28" t="n">
        <f aca="false">B58+1</f>
        <v>46297</v>
      </c>
      <c r="C59" s="29"/>
      <c r="D59" s="14"/>
      <c r="E59" s="14"/>
      <c r="F59" s="14"/>
      <c r="G59" s="14"/>
      <c r="I59" s="30" t="s">
        <v>6</v>
      </c>
      <c r="J59" s="14" t="str">
        <f aca="false">IFERROR(IF(G61=0, "", G61), "")</f>
        <v/>
      </c>
    </row>
    <row r="60" customFormat="false" ht="15.75" hidden="false" customHeight="false" outlineLevel="0" collapsed="false">
      <c r="I60" s="30" t="s">
        <v>33</v>
      </c>
      <c r="J60" s="27" t="n">
        <f aca="false">IF(COUNT(C52:G52)=0, "", (SUM(C55:C59)&gt;=C52)+(SUM(D55:D59)&gt;=D52)+(SUM(E55:E59)&gt;=E52)+(SUM(F55:F59)&gt;=F52)+(SUM(G55:G59)&gt;=G52))</f>
        <v>0</v>
      </c>
    </row>
    <row r="61" customFormat="false" ht="15.75" hidden="false" customHeight="false" outlineLevel="0" collapsed="false">
      <c r="B61" s="5" t="s">
        <v>7</v>
      </c>
      <c r="C61" s="6" t="str">
        <f aca="false">IFERROR(IF(SUM(C55:C59)=0, "", SUM(C55:C59)), "")</f>
        <v/>
      </c>
      <c r="D61" s="7" t="str">
        <f aca="false">IFERROR(IF(SUM(D55:D59)=0, "", SUM(D55:D59)), "")</f>
        <v/>
      </c>
      <c r="E61" s="7" t="str">
        <f aca="false">IFERROR(IF(SUM(E55:E59)=0, "", SUM(E55:E59)), "")</f>
        <v/>
      </c>
      <c r="F61" s="7" t="str">
        <f aca="false">IFERROR(IF(SUM(F55:F59)=0, "", SUM(F55:F59)), "")</f>
        <v/>
      </c>
      <c r="G61" s="7" t="str">
        <f aca="false">IFERROR(IF(SUM(G55:G59)=0, "", SUM(G55:G59)), "")</f>
        <v/>
      </c>
    </row>
  </sheetData>
  <mergeCells count="9">
    <mergeCell ref="B2:C2"/>
    <mergeCell ref="L5:M5"/>
    <mergeCell ref="I6:J6"/>
    <mergeCell ref="L12:M12"/>
    <mergeCell ref="L13:M13"/>
    <mergeCell ref="I18:J18"/>
    <mergeCell ref="I30:J30"/>
    <mergeCell ref="I42:J42"/>
    <mergeCell ref="I54:J54"/>
  </mergeCells>
  <conditionalFormatting sqref="C5 C17 C29 C41 C53 D5 D17 D29 D41 D53 E5 E17 E29 E41 E53 F5 F17 F29 F41 F53 G5 G17 G29 G41 G53">
    <cfRule type="cellIs" priority="2" operator="lessThanOrEqual" aboveAverage="0" equalAverage="0" bottom="0" percent="0" rank="0" text="" dxfId="0">
      <formula>0</formula>
    </cfRule>
  </conditionalFormatting>
  <conditionalFormatting sqref="J12 J24 J36 J48 J60">
    <cfRule type="cellIs" priority="3" operator="greaterThanOrEqual" aboveAverage="0" equalAverage="0" bottom="0" percent="0" rank="0" text="" dxfId="0">
      <formula>5</formula>
    </cfRule>
  </conditionalFormatting>
  <conditionalFormatting sqref="B6:B13 B18:B25 B30:B37 B42:B49 B54:B61">
    <cfRule type="timePeriod" priority="4" timePeriod="today" dxfId="1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3.38"/>
    <col collapsed="false" customWidth="true" hidden="false" outlineLevel="0" max="6" min="3" style="0" width="12.5"/>
    <col collapsed="false" customWidth="true" hidden="false" outlineLevel="0" max="7" min="7" style="0" width="13"/>
    <col collapsed="false" customWidth="true" hidden="false" outlineLevel="0" max="8" min="8" style="0" width="3.5"/>
    <col collapsed="false" customWidth="true" hidden="false" outlineLevel="0" max="9" min="9" style="0" width="14.51"/>
    <col collapsed="false" customWidth="true" hidden="false" outlineLevel="0" max="10" min="10" style="0" width="13.5"/>
    <col collapsed="false" customWidth="true" hidden="false" outlineLevel="0" max="11" min="11" style="0" width="3.5"/>
    <col collapsed="false" customWidth="true" hidden="false" outlineLevel="0" max="12" min="12" style="0" width="16"/>
    <col collapsed="false" customWidth="true" hidden="false" outlineLevel="0" max="13" min="13" style="0" width="11"/>
  </cols>
  <sheetData>
    <row r="2" customFormat="false" ht="15.75" hidden="false" customHeight="false" outlineLevel="0" collapsed="false">
      <c r="B2" s="22" t="n">
        <v>46296</v>
      </c>
      <c r="C2" s="22"/>
    </row>
    <row r="4" customFormat="false" ht="15.75" hidden="false" customHeight="false" outlineLevel="0" collapsed="false">
      <c r="B4" s="23" t="s">
        <v>29</v>
      </c>
      <c r="C4" s="24" t="n">
        <v>3</v>
      </c>
      <c r="D4" s="24" t="n">
        <v>1</v>
      </c>
      <c r="E4" s="24" t="n">
        <v>1</v>
      </c>
      <c r="F4" s="24" t="n">
        <v>5</v>
      </c>
      <c r="G4" s="24" t="n">
        <v>2</v>
      </c>
    </row>
    <row r="5" customFormat="false" ht="15.75" hidden="false" customHeight="false" outlineLevel="0" collapsed="false">
      <c r="B5" s="23" t="s">
        <v>30</v>
      </c>
      <c r="C5" s="25" t="n">
        <f aca="false">IF(C4="", "", C4-SUM(C7:C11))</f>
        <v>3</v>
      </c>
      <c r="D5" s="25" t="n">
        <f aca="false">IF(D4="", "", D4-SUM(D7:D11))</f>
        <v>1</v>
      </c>
      <c r="E5" s="25" t="n">
        <f aca="false">IF(E4="", "", E4-SUM(E7:E11))</f>
        <v>1</v>
      </c>
      <c r="F5" s="25" t="n">
        <f aca="false">IF(F4="", "", F4-SUM(F7:F11))</f>
        <v>5</v>
      </c>
      <c r="G5" s="25" t="n">
        <f aca="false">IF(G4="", "", G4-SUM(G7:G11))</f>
        <v>2</v>
      </c>
      <c r="L5" s="8" t="s">
        <v>41</v>
      </c>
      <c r="M5" s="8"/>
    </row>
    <row r="6" customFormat="false" ht="15.75" hidden="false" customHeight="false" outlineLevel="0" collapsed="false">
      <c r="C6" s="3" t="s">
        <v>2</v>
      </c>
      <c r="D6" s="4" t="s">
        <v>3</v>
      </c>
      <c r="E6" s="4" t="s">
        <v>4</v>
      </c>
      <c r="F6" s="4" t="s">
        <v>5</v>
      </c>
      <c r="G6" s="4" t="s">
        <v>6</v>
      </c>
      <c r="I6" s="8" t="s">
        <v>42</v>
      </c>
      <c r="J6" s="8"/>
      <c r="L6" s="26" t="s">
        <v>2</v>
      </c>
      <c r="M6" s="27" t="n">
        <f aca="false">SUM(J7,J19,J31,J43)</f>
        <v>0</v>
      </c>
    </row>
    <row r="7" customFormat="false" ht="15.75" hidden="false" customHeight="false" outlineLevel="0" collapsed="false">
      <c r="B7" s="28" t="n">
        <v>46300</v>
      </c>
      <c r="C7" s="29"/>
      <c r="D7" s="14"/>
      <c r="E7" s="14"/>
      <c r="F7" s="14"/>
      <c r="G7" s="14"/>
      <c r="I7" s="30" t="s">
        <v>2</v>
      </c>
      <c r="J7" s="29" t="str">
        <f aca="false">IFERROR(IF(C13=0, "", C13), "")</f>
        <v/>
      </c>
      <c r="L7" s="26" t="s">
        <v>3</v>
      </c>
      <c r="M7" s="27" t="n">
        <f aca="false">SUM(J8,J20,J32,J44)</f>
        <v>0</v>
      </c>
    </row>
    <row r="8" customFormat="false" ht="15.75" hidden="false" customHeight="false" outlineLevel="0" collapsed="false">
      <c r="B8" s="31" t="n">
        <f aca="false">B7+1</f>
        <v>46301</v>
      </c>
      <c r="C8" s="32"/>
      <c r="D8" s="18"/>
      <c r="E8" s="18"/>
      <c r="F8" s="18"/>
      <c r="G8" s="18"/>
      <c r="I8" s="30" t="s">
        <v>3</v>
      </c>
      <c r="J8" s="14" t="str">
        <f aca="false">IFERROR(IF(D13=0, "", D13), "")</f>
        <v/>
      </c>
      <c r="L8" s="26" t="s">
        <v>4</v>
      </c>
      <c r="M8" s="27" t="n">
        <f aca="false">SUM(J9,J21,J33,J45)</f>
        <v>0</v>
      </c>
    </row>
    <row r="9" customFormat="false" ht="15.75" hidden="false" customHeight="false" outlineLevel="0" collapsed="false">
      <c r="B9" s="28" t="n">
        <f aca="false">B8+1</f>
        <v>46302</v>
      </c>
      <c r="C9" s="29"/>
      <c r="D9" s="14"/>
      <c r="E9" s="14"/>
      <c r="F9" s="14"/>
      <c r="G9" s="14"/>
      <c r="I9" s="30" t="s">
        <v>4</v>
      </c>
      <c r="J9" s="14" t="str">
        <f aca="false">IFERROR(IF(E13=0, "", E13), "")</f>
        <v/>
      </c>
      <c r="L9" s="26" t="s">
        <v>5</v>
      </c>
      <c r="M9" s="27" t="n">
        <f aca="false">SUM(J10,J22,J34,J46)</f>
        <v>0</v>
      </c>
    </row>
    <row r="10" customFormat="false" ht="15.75" hidden="false" customHeight="false" outlineLevel="0" collapsed="false">
      <c r="B10" s="31" t="n">
        <f aca="false">B9+1</f>
        <v>46303</v>
      </c>
      <c r="C10" s="32"/>
      <c r="D10" s="18"/>
      <c r="E10" s="18"/>
      <c r="F10" s="18"/>
      <c r="G10" s="18"/>
      <c r="I10" s="30" t="s">
        <v>5</v>
      </c>
      <c r="J10" s="14" t="str">
        <f aca="false">IFERROR(IF(F13=0, "", F13), "")</f>
        <v/>
      </c>
      <c r="L10" s="26" t="s">
        <v>6</v>
      </c>
      <c r="M10" s="27" t="n">
        <f aca="false">SUM(J11,J23,J35,J47)</f>
        <v>0</v>
      </c>
    </row>
    <row r="11" customFormat="false" ht="15.75" hidden="false" customHeight="false" outlineLevel="0" collapsed="false">
      <c r="B11" s="28" t="n">
        <f aca="false">B10+1</f>
        <v>46304</v>
      </c>
      <c r="C11" s="29"/>
      <c r="D11" s="14"/>
      <c r="E11" s="14"/>
      <c r="F11" s="14"/>
      <c r="G11" s="14"/>
      <c r="I11" s="30" t="s">
        <v>6</v>
      </c>
      <c r="J11" s="14" t="str">
        <f aca="false">IFERROR(IF(G13=0, "", G13), "")</f>
        <v/>
      </c>
    </row>
    <row r="12" customFormat="false" ht="15.75" hidden="false" customHeight="false" outlineLevel="0" collapsed="false">
      <c r="I12" s="30" t="s">
        <v>33</v>
      </c>
      <c r="J12" s="27" t="n">
        <f aca="false">IF(COUNT(C4:G4)=0, "", (SUM(C7:C11)&gt;=C4)+(SUM(D7:D11)&gt;=D4)+(SUM(E7:E11)&gt;=E4)+(SUM(F7:F11)&gt;=F4)+(SUM(G7:G11)&gt;=G4))</f>
        <v>0</v>
      </c>
      <c r="L12" s="8" t="s">
        <v>8</v>
      </c>
      <c r="M12" s="8"/>
    </row>
    <row r="13" customFormat="false" ht="15.75" hidden="false" customHeight="false" outlineLevel="0" collapsed="false">
      <c r="B13" s="5" t="s">
        <v>7</v>
      </c>
      <c r="C13" s="6" t="str">
        <f aca="false">IFERROR(IF(SUM(C7:C11)=0, "", SUM(C7:C11)), "")</f>
        <v/>
      </c>
      <c r="D13" s="7" t="str">
        <f aca="false">IFERROR(IF(SUM(D7:D11)=0, "", SUM(D7:D11)), "")</f>
        <v/>
      </c>
      <c r="E13" s="7" t="str">
        <f aca="false">IFERROR(IF(SUM(E7:E11)=0, "", SUM(E7:E11)), "")</f>
        <v/>
      </c>
      <c r="F13" s="7" t="str">
        <f aca="false">IFERROR(IF(SUM(F7:F11)=0, "", SUM(F7:F11)), "")</f>
        <v/>
      </c>
      <c r="G13" s="7" t="str">
        <f aca="false">IFERROR(IF(SUM(G7:G11)=0, "", SUM(G7:G11)), "")</f>
        <v/>
      </c>
      <c r="L13" s="9" t="n">
        <f aca="false">(J12=5)+(J24=5)+(J36=5)+(J48=5)</f>
        <v>0</v>
      </c>
      <c r="M13" s="9"/>
    </row>
    <row r="16" customFormat="false" ht="15.75" hidden="false" customHeight="false" outlineLevel="0" collapsed="false">
      <c r="B16" s="23" t="s">
        <v>29</v>
      </c>
      <c r="C16" s="24" t="n">
        <v>3</v>
      </c>
      <c r="D16" s="24" t="n">
        <v>1</v>
      </c>
      <c r="E16" s="24" t="n">
        <v>1</v>
      </c>
      <c r="F16" s="24" t="n">
        <v>5</v>
      </c>
      <c r="G16" s="24" t="n">
        <v>2</v>
      </c>
    </row>
    <row r="17" customFormat="false" ht="15.75" hidden="false" customHeight="false" outlineLevel="0" collapsed="false">
      <c r="B17" s="23" t="s">
        <v>30</v>
      </c>
      <c r="C17" s="25" t="n">
        <f aca="false">IF(C16="", "", C16-SUM(C19:C23))</f>
        <v>3</v>
      </c>
      <c r="D17" s="25" t="n">
        <f aca="false">IF(D16="", "", D16-SUM(D19:D23))</f>
        <v>1</v>
      </c>
      <c r="E17" s="25" t="n">
        <f aca="false">IF(E16="", "", E16-SUM(E19:E23))</f>
        <v>1</v>
      </c>
      <c r="F17" s="25" t="n">
        <f aca="false">IF(F16="", "", F16-SUM(F19:F23))</f>
        <v>5</v>
      </c>
      <c r="G17" s="25" t="n">
        <f aca="false">IF(G16="", "", G16-SUM(G19:G23))</f>
        <v>2</v>
      </c>
    </row>
    <row r="18" customFormat="false" ht="15.75" hidden="false" customHeight="false" outlineLevel="0" collapsed="false">
      <c r="C18" s="3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I18" s="8" t="s">
        <v>43</v>
      </c>
      <c r="J18" s="8"/>
    </row>
    <row r="19" customFormat="false" ht="15.75" hidden="false" customHeight="false" outlineLevel="0" collapsed="false">
      <c r="B19" s="28" t="n">
        <v>46307</v>
      </c>
      <c r="C19" s="29"/>
      <c r="D19" s="14"/>
      <c r="E19" s="14"/>
      <c r="F19" s="14"/>
      <c r="G19" s="14"/>
      <c r="I19" s="30" t="s">
        <v>2</v>
      </c>
      <c r="J19" s="29" t="str">
        <f aca="false">IFERROR(IF(C25=0, "", C25), "")</f>
        <v/>
      </c>
    </row>
    <row r="20" customFormat="false" ht="15.75" hidden="false" customHeight="false" outlineLevel="0" collapsed="false">
      <c r="B20" s="31" t="n">
        <f aca="false">B19+1</f>
        <v>46308</v>
      </c>
      <c r="C20" s="32"/>
      <c r="D20" s="18"/>
      <c r="E20" s="18"/>
      <c r="F20" s="18"/>
      <c r="G20" s="18"/>
      <c r="I20" s="30" t="s">
        <v>3</v>
      </c>
      <c r="J20" s="14" t="str">
        <f aca="false">IFERROR(IF(D25=0, "", D25), "")</f>
        <v/>
      </c>
    </row>
    <row r="21" customFormat="false" ht="15.75" hidden="false" customHeight="false" outlineLevel="0" collapsed="false">
      <c r="B21" s="28" t="n">
        <f aca="false">B20+1</f>
        <v>46309</v>
      </c>
      <c r="C21" s="29"/>
      <c r="D21" s="14"/>
      <c r="E21" s="14"/>
      <c r="F21" s="14"/>
      <c r="G21" s="14"/>
      <c r="I21" s="30" t="s">
        <v>4</v>
      </c>
      <c r="J21" s="14" t="str">
        <f aca="false">IFERROR(IF(E25=0, "", E25), "")</f>
        <v/>
      </c>
    </row>
    <row r="22" customFormat="false" ht="15.75" hidden="false" customHeight="false" outlineLevel="0" collapsed="false">
      <c r="B22" s="31" t="n">
        <f aca="false">B21+1</f>
        <v>46310</v>
      </c>
      <c r="C22" s="32"/>
      <c r="D22" s="18"/>
      <c r="E22" s="18"/>
      <c r="F22" s="18"/>
      <c r="G22" s="18"/>
      <c r="I22" s="30" t="s">
        <v>5</v>
      </c>
      <c r="J22" s="14" t="str">
        <f aca="false">IFERROR(IF(F25=0, "", F25), "")</f>
        <v/>
      </c>
    </row>
    <row r="23" customFormat="false" ht="15.75" hidden="false" customHeight="false" outlineLevel="0" collapsed="false">
      <c r="B23" s="28" t="n">
        <f aca="false">B22+1</f>
        <v>46311</v>
      </c>
      <c r="C23" s="29"/>
      <c r="D23" s="14"/>
      <c r="E23" s="14"/>
      <c r="F23" s="14"/>
      <c r="G23" s="14"/>
      <c r="I23" s="30" t="s">
        <v>6</v>
      </c>
      <c r="J23" s="14" t="str">
        <f aca="false">IFERROR(IF(G25=0, "", G25), "")</f>
        <v/>
      </c>
    </row>
    <row r="24" customFormat="false" ht="15.75" hidden="false" customHeight="false" outlineLevel="0" collapsed="false">
      <c r="I24" s="30" t="s">
        <v>33</v>
      </c>
      <c r="J24" s="27" t="n">
        <f aca="false">IF(COUNT(C16:G16)=0, "", (SUM(C19:C23)&gt;=C16)+(SUM(D19:D23)&gt;=D16)+(SUM(E19:E23)&gt;=E16)+(SUM(F19:F23)&gt;=F16)+(SUM(G19:G23)&gt;=G16))</f>
        <v>0</v>
      </c>
    </row>
    <row r="25" customFormat="false" ht="15.75" hidden="false" customHeight="false" outlineLevel="0" collapsed="false">
      <c r="B25" s="5" t="s">
        <v>7</v>
      </c>
      <c r="C25" s="6" t="str">
        <f aca="false">IFERROR(IF(SUM(C19:C23)=0, "", SUM(C19:C23)), "")</f>
        <v/>
      </c>
      <c r="D25" s="7" t="str">
        <f aca="false">IFERROR(IF(SUM(D19:D23)=0, "", SUM(D19:D23)), "")</f>
        <v/>
      </c>
      <c r="E25" s="7" t="str">
        <f aca="false">IFERROR(IF(SUM(E19:E23)=0, "", SUM(E19:E23)), "")</f>
        <v/>
      </c>
      <c r="F25" s="7" t="str">
        <f aca="false">IFERROR(IF(SUM(F19:F23)=0, "", SUM(F19:F23)), "")</f>
        <v/>
      </c>
      <c r="G25" s="7" t="str">
        <f aca="false">IFERROR(IF(SUM(G19:G23)=0, "", SUM(G19:G23)), "")</f>
        <v/>
      </c>
    </row>
    <row r="28" customFormat="false" ht="15.75" hidden="false" customHeight="false" outlineLevel="0" collapsed="false">
      <c r="B28" s="23" t="s">
        <v>29</v>
      </c>
      <c r="C28" s="24" t="n">
        <v>3</v>
      </c>
      <c r="D28" s="24" t="n">
        <v>1</v>
      </c>
      <c r="E28" s="24" t="n">
        <v>1</v>
      </c>
      <c r="F28" s="24" t="n">
        <v>5</v>
      </c>
      <c r="G28" s="24" t="n">
        <v>2</v>
      </c>
    </row>
    <row r="29" customFormat="false" ht="15.75" hidden="false" customHeight="false" outlineLevel="0" collapsed="false">
      <c r="B29" s="23" t="s">
        <v>30</v>
      </c>
      <c r="C29" s="25" t="n">
        <f aca="false">IF(C28="", "", C28-SUM(C31:C35))</f>
        <v>3</v>
      </c>
      <c r="D29" s="25" t="n">
        <f aca="false">IF(D28="", "", D28-SUM(D31:D35))</f>
        <v>1</v>
      </c>
      <c r="E29" s="25" t="n">
        <f aca="false">IF(E28="", "", E28-SUM(E31:E35))</f>
        <v>1</v>
      </c>
      <c r="F29" s="25" t="n">
        <f aca="false">IF(F28="", "", F28-SUM(F31:F35))</f>
        <v>5</v>
      </c>
      <c r="G29" s="25" t="n">
        <f aca="false">IF(G28="", "", G28-SUM(G31:G35))</f>
        <v>2</v>
      </c>
    </row>
    <row r="30" customFormat="false" ht="15.75" hidden="false" customHeight="false" outlineLevel="0" collapsed="false">
      <c r="C30" s="3" t="s">
        <v>2</v>
      </c>
      <c r="D30" s="4" t="s">
        <v>3</v>
      </c>
      <c r="E30" s="4" t="s">
        <v>4</v>
      </c>
      <c r="F30" s="4" t="s">
        <v>5</v>
      </c>
      <c r="G30" s="4" t="s">
        <v>6</v>
      </c>
      <c r="I30" s="8" t="s">
        <v>44</v>
      </c>
      <c r="J30" s="8"/>
    </row>
    <row r="31" customFormat="false" ht="15.75" hidden="false" customHeight="false" outlineLevel="0" collapsed="false">
      <c r="B31" s="28" t="n">
        <v>46314</v>
      </c>
      <c r="C31" s="29"/>
      <c r="D31" s="14"/>
      <c r="E31" s="14"/>
      <c r="F31" s="14"/>
      <c r="G31" s="14"/>
      <c r="I31" s="30" t="s">
        <v>2</v>
      </c>
      <c r="J31" s="29" t="str">
        <f aca="false">IFERROR(IF(C37=0, "", C37), "")</f>
        <v/>
      </c>
    </row>
    <row r="32" customFormat="false" ht="15.75" hidden="false" customHeight="false" outlineLevel="0" collapsed="false">
      <c r="B32" s="31" t="n">
        <f aca="false">B31+1</f>
        <v>46315</v>
      </c>
      <c r="C32" s="32"/>
      <c r="D32" s="18"/>
      <c r="E32" s="18"/>
      <c r="F32" s="18"/>
      <c r="G32" s="18"/>
      <c r="I32" s="30" t="s">
        <v>3</v>
      </c>
      <c r="J32" s="14" t="str">
        <f aca="false">IFERROR(IF(D37=0, "", D37), "")</f>
        <v/>
      </c>
    </row>
    <row r="33" customFormat="false" ht="15.75" hidden="false" customHeight="false" outlineLevel="0" collapsed="false">
      <c r="B33" s="28" t="n">
        <f aca="false">B32+1</f>
        <v>46316</v>
      </c>
      <c r="C33" s="29"/>
      <c r="D33" s="14"/>
      <c r="E33" s="14"/>
      <c r="F33" s="14"/>
      <c r="G33" s="14"/>
      <c r="I33" s="30" t="s">
        <v>4</v>
      </c>
      <c r="J33" s="14" t="str">
        <f aca="false">IFERROR(IF(E37=0, "", E37), "")</f>
        <v/>
      </c>
    </row>
    <row r="34" customFormat="false" ht="15.75" hidden="false" customHeight="false" outlineLevel="0" collapsed="false">
      <c r="B34" s="31" t="n">
        <f aca="false">B33+1</f>
        <v>46317</v>
      </c>
      <c r="C34" s="32"/>
      <c r="D34" s="18"/>
      <c r="E34" s="18"/>
      <c r="F34" s="18"/>
      <c r="G34" s="18"/>
      <c r="I34" s="30" t="s">
        <v>5</v>
      </c>
      <c r="J34" s="14" t="str">
        <f aca="false">IFERROR(IF(F37=0, "", F37), "")</f>
        <v/>
      </c>
    </row>
    <row r="35" customFormat="false" ht="15.75" hidden="false" customHeight="false" outlineLevel="0" collapsed="false">
      <c r="B35" s="28" t="n">
        <f aca="false">B34+1</f>
        <v>46318</v>
      </c>
      <c r="C35" s="29"/>
      <c r="D35" s="14"/>
      <c r="E35" s="14"/>
      <c r="F35" s="14"/>
      <c r="G35" s="14"/>
      <c r="I35" s="30" t="s">
        <v>6</v>
      </c>
      <c r="J35" s="14" t="str">
        <f aca="false">IFERROR(IF(G37=0, "", G37), "")</f>
        <v/>
      </c>
    </row>
    <row r="36" customFormat="false" ht="15.75" hidden="false" customHeight="false" outlineLevel="0" collapsed="false">
      <c r="I36" s="30" t="s">
        <v>33</v>
      </c>
      <c r="J36" s="27" t="n">
        <f aca="false">IF(COUNT(C28:G28)=0, "", (SUM(C31:C35)&gt;=C28)+(SUM(D31:D35)&gt;=D28)+(SUM(E31:E35)&gt;=E28)+(SUM(F31:F35)&gt;=F28)+(SUM(G31:G35)&gt;=G28))</f>
        <v>0</v>
      </c>
    </row>
    <row r="37" customFormat="false" ht="15.75" hidden="false" customHeight="false" outlineLevel="0" collapsed="false">
      <c r="B37" s="5" t="s">
        <v>7</v>
      </c>
      <c r="C37" s="6" t="str">
        <f aca="false">IFERROR(IF(SUM(C31:C35)=0, "", SUM(C31:C35)), "")</f>
        <v/>
      </c>
      <c r="D37" s="7" t="str">
        <f aca="false">IFERROR(IF(SUM(D31:D35)=0, "", SUM(D31:D35)), "")</f>
        <v/>
      </c>
      <c r="E37" s="7" t="str">
        <f aca="false">IFERROR(IF(SUM(E31:E35)=0, "", SUM(E31:E35)), "")</f>
        <v/>
      </c>
      <c r="F37" s="7" t="str">
        <f aca="false">IFERROR(IF(SUM(F31:F35)=0, "", SUM(F31:F35)), "")</f>
        <v/>
      </c>
      <c r="G37" s="7" t="str">
        <f aca="false">IFERROR(IF(SUM(G31:G35)=0, "", SUM(G31:G35)), "")</f>
        <v/>
      </c>
    </row>
    <row r="40" customFormat="false" ht="15.75" hidden="false" customHeight="false" outlineLevel="0" collapsed="false">
      <c r="B40" s="23" t="s">
        <v>29</v>
      </c>
      <c r="C40" s="24" t="n">
        <v>3</v>
      </c>
      <c r="D40" s="24" t="n">
        <v>1</v>
      </c>
      <c r="E40" s="24" t="n">
        <v>1</v>
      </c>
      <c r="F40" s="24" t="n">
        <v>5</v>
      </c>
      <c r="G40" s="24" t="n">
        <v>2</v>
      </c>
    </row>
    <row r="41" customFormat="false" ht="15.75" hidden="false" customHeight="false" outlineLevel="0" collapsed="false">
      <c r="B41" s="23" t="s">
        <v>30</v>
      </c>
      <c r="C41" s="25" t="n">
        <f aca="false">IF(C40="", "", C40-SUM(C43:C47))</f>
        <v>3</v>
      </c>
      <c r="D41" s="25" t="n">
        <f aca="false">IF(D40="", "", D40-SUM(D43:D47))</f>
        <v>1</v>
      </c>
      <c r="E41" s="25" t="n">
        <f aca="false">IF(E40="", "", E40-SUM(E43:E47))</f>
        <v>1</v>
      </c>
      <c r="F41" s="25" t="n">
        <f aca="false">IF(F40="", "", F40-SUM(F43:F47))</f>
        <v>5</v>
      </c>
      <c r="G41" s="25" t="n">
        <f aca="false">IF(G40="", "", G40-SUM(G43:G47))</f>
        <v>2</v>
      </c>
    </row>
    <row r="42" customFormat="false" ht="15.75" hidden="false" customHeight="false" outlineLevel="0" collapsed="false">
      <c r="C42" s="3" t="s">
        <v>2</v>
      </c>
      <c r="D42" s="4" t="s">
        <v>3</v>
      </c>
      <c r="E42" s="4" t="s">
        <v>4</v>
      </c>
      <c r="F42" s="4" t="s">
        <v>5</v>
      </c>
      <c r="G42" s="4" t="s">
        <v>6</v>
      </c>
      <c r="I42" s="8" t="s">
        <v>45</v>
      </c>
      <c r="J42" s="8"/>
    </row>
    <row r="43" customFormat="false" ht="15.75" hidden="false" customHeight="false" outlineLevel="0" collapsed="false">
      <c r="B43" s="28" t="n">
        <v>46321</v>
      </c>
      <c r="C43" s="29"/>
      <c r="D43" s="14"/>
      <c r="E43" s="14"/>
      <c r="F43" s="14"/>
      <c r="G43" s="14"/>
      <c r="I43" s="30" t="s">
        <v>2</v>
      </c>
      <c r="J43" s="29" t="str">
        <f aca="false">IFERROR(IF(C49=0, "", C49), "")</f>
        <v/>
      </c>
    </row>
    <row r="44" customFormat="false" ht="15.75" hidden="false" customHeight="false" outlineLevel="0" collapsed="false">
      <c r="B44" s="31" t="n">
        <f aca="false">B43+1</f>
        <v>46322</v>
      </c>
      <c r="C44" s="32"/>
      <c r="D44" s="18"/>
      <c r="E44" s="18"/>
      <c r="F44" s="18"/>
      <c r="G44" s="18"/>
      <c r="I44" s="30" t="s">
        <v>3</v>
      </c>
      <c r="J44" s="14" t="str">
        <f aca="false">IFERROR(IF(D49=0, "", D49), "")</f>
        <v/>
      </c>
    </row>
    <row r="45" customFormat="false" ht="15.75" hidden="false" customHeight="false" outlineLevel="0" collapsed="false">
      <c r="B45" s="28" t="n">
        <f aca="false">B44+1</f>
        <v>46323</v>
      </c>
      <c r="C45" s="29"/>
      <c r="D45" s="14"/>
      <c r="E45" s="14"/>
      <c r="F45" s="14"/>
      <c r="G45" s="14"/>
      <c r="I45" s="30" t="s">
        <v>4</v>
      </c>
      <c r="J45" s="14" t="str">
        <f aca="false">IFERROR(IF(E49=0, "", E49), "")</f>
        <v/>
      </c>
    </row>
    <row r="46" customFormat="false" ht="15.75" hidden="false" customHeight="false" outlineLevel="0" collapsed="false">
      <c r="B46" s="31" t="n">
        <f aca="false">B45+1</f>
        <v>46324</v>
      </c>
      <c r="C46" s="32"/>
      <c r="D46" s="18"/>
      <c r="E46" s="18"/>
      <c r="F46" s="18"/>
      <c r="G46" s="18"/>
      <c r="I46" s="30" t="s">
        <v>5</v>
      </c>
      <c r="J46" s="14" t="str">
        <f aca="false">IFERROR(IF(F49=0, "", F49), "")</f>
        <v/>
      </c>
    </row>
    <row r="47" customFormat="false" ht="15.75" hidden="false" customHeight="false" outlineLevel="0" collapsed="false">
      <c r="B47" s="28" t="n">
        <f aca="false">B46+1</f>
        <v>46325</v>
      </c>
      <c r="C47" s="29"/>
      <c r="D47" s="14"/>
      <c r="E47" s="14"/>
      <c r="F47" s="14"/>
      <c r="G47" s="14"/>
      <c r="I47" s="30" t="s">
        <v>6</v>
      </c>
      <c r="J47" s="14" t="str">
        <f aca="false">IFERROR(IF(G49=0, "", G49), "")</f>
        <v/>
      </c>
    </row>
    <row r="48" customFormat="false" ht="15.75" hidden="false" customHeight="false" outlineLevel="0" collapsed="false">
      <c r="I48" s="30" t="s">
        <v>33</v>
      </c>
      <c r="J48" s="27" t="n">
        <f aca="false">IF(COUNT(C40:G40)=0, "", (SUM(C43:C47)&gt;=C40)+(SUM(D43:D47)&gt;=D40)+(SUM(E43:E47)&gt;=E40)+(SUM(F43:F47)&gt;=F40)+(SUM(G43:G47)&gt;=G40))</f>
        <v>0</v>
      </c>
    </row>
    <row r="49" customFormat="false" ht="15.75" hidden="false" customHeight="false" outlineLevel="0" collapsed="false">
      <c r="B49" s="5" t="s">
        <v>7</v>
      </c>
      <c r="C49" s="6" t="str">
        <f aca="false">IFERROR(IF(SUM(C43:C47)=0, "", SUM(C43:C47)), "")</f>
        <v/>
      </c>
      <c r="D49" s="7" t="str">
        <f aca="false">IFERROR(IF(SUM(D43:D47)=0, "", SUM(D43:D47)), "")</f>
        <v/>
      </c>
      <c r="E49" s="7" t="str">
        <f aca="false">IFERROR(IF(SUM(E43:E47)=0, "", SUM(E43:E47)), "")</f>
        <v/>
      </c>
      <c r="F49" s="7" t="str">
        <f aca="false">IFERROR(IF(SUM(F43:F47)=0, "", SUM(F43:F47)), "")</f>
        <v/>
      </c>
      <c r="G49" s="7" t="str">
        <f aca="false">IFERROR(IF(SUM(G43:G47)=0, "", SUM(G43:G47)), "")</f>
        <v/>
      </c>
    </row>
  </sheetData>
  <mergeCells count="8">
    <mergeCell ref="B2:C2"/>
    <mergeCell ref="L5:M5"/>
    <mergeCell ref="I6:J6"/>
    <mergeCell ref="L12:M12"/>
    <mergeCell ref="L13:M13"/>
    <mergeCell ref="I18:J18"/>
    <mergeCell ref="I30:J30"/>
    <mergeCell ref="I42:J42"/>
  </mergeCells>
  <conditionalFormatting sqref="C5 C17 C29 C41 D5 D17 D29 D41 E5 E17 E29 E41 F5 F17 F29 F41 G5 G17 G29 G41">
    <cfRule type="cellIs" priority="2" operator="lessThanOrEqual" aboveAverage="0" equalAverage="0" bottom="0" percent="0" rank="0" text="" dxfId="0">
      <formula>0</formula>
    </cfRule>
  </conditionalFormatting>
  <conditionalFormatting sqref="J12 J24 J36 J48">
    <cfRule type="cellIs" priority="3" operator="greaterThanOrEqual" aboveAverage="0" equalAverage="0" bottom="0" percent="0" rank="0" text="" dxfId="0">
      <formula>5</formula>
    </cfRule>
  </conditionalFormatting>
  <conditionalFormatting sqref="B6:B13 B18:B25 B30:B37 B42:B49">
    <cfRule type="timePeriod" priority="4" timePeriod="today" dxfId="1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3.38"/>
    <col collapsed="false" customWidth="true" hidden="false" outlineLevel="0" max="6" min="3" style="0" width="12.5"/>
    <col collapsed="false" customWidth="true" hidden="false" outlineLevel="0" max="7" min="7" style="0" width="13"/>
    <col collapsed="false" customWidth="true" hidden="false" outlineLevel="0" max="8" min="8" style="0" width="3.5"/>
    <col collapsed="false" customWidth="true" hidden="false" outlineLevel="0" max="9" min="9" style="0" width="14.51"/>
    <col collapsed="false" customWidth="true" hidden="false" outlineLevel="0" max="10" min="10" style="0" width="13.5"/>
    <col collapsed="false" customWidth="true" hidden="false" outlineLevel="0" max="11" min="11" style="0" width="3.5"/>
    <col collapsed="false" customWidth="true" hidden="false" outlineLevel="0" max="12" min="12" style="0" width="16"/>
    <col collapsed="false" customWidth="true" hidden="false" outlineLevel="0" max="13" min="13" style="0" width="11"/>
  </cols>
  <sheetData>
    <row r="2" customFormat="false" ht="15.75" hidden="false" customHeight="false" outlineLevel="0" collapsed="false">
      <c r="B2" s="22" t="n">
        <v>46327</v>
      </c>
      <c r="C2" s="22"/>
    </row>
    <row r="4" customFormat="false" ht="15.75" hidden="false" customHeight="false" outlineLevel="0" collapsed="false">
      <c r="B4" s="23" t="s">
        <v>29</v>
      </c>
      <c r="C4" s="24" t="n">
        <v>3</v>
      </c>
      <c r="D4" s="24" t="n">
        <v>1</v>
      </c>
      <c r="E4" s="24" t="n">
        <v>1</v>
      </c>
      <c r="F4" s="24" t="n">
        <v>5</v>
      </c>
      <c r="G4" s="24" t="n">
        <v>2</v>
      </c>
    </row>
    <row r="5" customFormat="false" ht="15.75" hidden="false" customHeight="false" outlineLevel="0" collapsed="false">
      <c r="B5" s="23" t="s">
        <v>30</v>
      </c>
      <c r="C5" s="25" t="n">
        <f aca="false">IF(C4="", "", C4-SUM(C7:C11))</f>
        <v>3</v>
      </c>
      <c r="D5" s="25" t="n">
        <f aca="false">IF(D4="", "", D4-SUM(D7:D11))</f>
        <v>1</v>
      </c>
      <c r="E5" s="25" t="n">
        <f aca="false">IF(E4="", "", E4-SUM(E7:E11))</f>
        <v>1</v>
      </c>
      <c r="F5" s="25" t="n">
        <f aca="false">IF(F4="", "", F4-SUM(F7:F11))</f>
        <v>5</v>
      </c>
      <c r="G5" s="25" t="n">
        <f aca="false">IF(G4="", "", G4-SUM(G7:G11))</f>
        <v>2</v>
      </c>
      <c r="L5" s="8" t="s">
        <v>46</v>
      </c>
      <c r="M5" s="8"/>
    </row>
    <row r="6" customFormat="false" ht="15.75" hidden="false" customHeight="false" outlineLevel="0" collapsed="false">
      <c r="C6" s="3" t="s">
        <v>2</v>
      </c>
      <c r="D6" s="4" t="s">
        <v>3</v>
      </c>
      <c r="E6" s="4" t="s">
        <v>4</v>
      </c>
      <c r="F6" s="4" t="s">
        <v>5</v>
      </c>
      <c r="G6" s="4" t="s">
        <v>6</v>
      </c>
      <c r="I6" s="8" t="s">
        <v>47</v>
      </c>
      <c r="J6" s="8"/>
      <c r="L6" s="26" t="s">
        <v>2</v>
      </c>
      <c r="M6" s="27" t="n">
        <f aca="false">SUM(J7,J19,J31,J43)</f>
        <v>0</v>
      </c>
    </row>
    <row r="7" customFormat="false" ht="15.75" hidden="false" customHeight="false" outlineLevel="0" collapsed="false">
      <c r="B7" s="28" t="n">
        <v>46328</v>
      </c>
      <c r="C7" s="29"/>
      <c r="D7" s="14"/>
      <c r="E7" s="14"/>
      <c r="F7" s="14"/>
      <c r="G7" s="14"/>
      <c r="I7" s="30" t="s">
        <v>2</v>
      </c>
      <c r="J7" s="29" t="str">
        <f aca="false">IFERROR(IF(C13=0, "", C13), "")</f>
        <v/>
      </c>
      <c r="L7" s="26" t="s">
        <v>3</v>
      </c>
      <c r="M7" s="27" t="n">
        <f aca="false">SUM(J8,J20,J32,J44)</f>
        <v>0</v>
      </c>
    </row>
    <row r="8" customFormat="false" ht="15.75" hidden="false" customHeight="false" outlineLevel="0" collapsed="false">
      <c r="B8" s="31" t="n">
        <f aca="false">B7+1</f>
        <v>46329</v>
      </c>
      <c r="C8" s="32"/>
      <c r="D8" s="18"/>
      <c r="E8" s="18"/>
      <c r="F8" s="18"/>
      <c r="G8" s="18"/>
      <c r="I8" s="30" t="s">
        <v>3</v>
      </c>
      <c r="J8" s="14" t="str">
        <f aca="false">IFERROR(IF(D13=0, "", D13), "")</f>
        <v/>
      </c>
      <c r="L8" s="26" t="s">
        <v>4</v>
      </c>
      <c r="M8" s="27" t="n">
        <f aca="false">SUM(J9,J21,J33,J45)</f>
        <v>0</v>
      </c>
    </row>
    <row r="9" customFormat="false" ht="15.75" hidden="false" customHeight="false" outlineLevel="0" collapsed="false">
      <c r="B9" s="28" t="n">
        <f aca="false">B8+1</f>
        <v>46330</v>
      </c>
      <c r="C9" s="29"/>
      <c r="D9" s="14"/>
      <c r="E9" s="14"/>
      <c r="F9" s="14"/>
      <c r="G9" s="14"/>
      <c r="I9" s="30" t="s">
        <v>4</v>
      </c>
      <c r="J9" s="14" t="str">
        <f aca="false">IFERROR(IF(E13=0, "", E13), "")</f>
        <v/>
      </c>
      <c r="L9" s="26" t="s">
        <v>5</v>
      </c>
      <c r="M9" s="27" t="n">
        <f aca="false">SUM(J10,J22,J34,J46)</f>
        <v>0</v>
      </c>
    </row>
    <row r="10" customFormat="false" ht="15.75" hidden="false" customHeight="false" outlineLevel="0" collapsed="false">
      <c r="B10" s="31" t="n">
        <f aca="false">B9+1</f>
        <v>46331</v>
      </c>
      <c r="C10" s="32"/>
      <c r="D10" s="18"/>
      <c r="E10" s="18"/>
      <c r="F10" s="18"/>
      <c r="G10" s="18"/>
      <c r="I10" s="30" t="s">
        <v>5</v>
      </c>
      <c r="J10" s="14" t="str">
        <f aca="false">IFERROR(IF(F13=0, "", F13), "")</f>
        <v/>
      </c>
      <c r="L10" s="26" t="s">
        <v>6</v>
      </c>
      <c r="M10" s="27" t="n">
        <f aca="false">SUM(J11,J23,J35,J47)</f>
        <v>0</v>
      </c>
    </row>
    <row r="11" customFormat="false" ht="15.75" hidden="false" customHeight="false" outlineLevel="0" collapsed="false">
      <c r="B11" s="28" t="n">
        <f aca="false">B10+1</f>
        <v>46332</v>
      </c>
      <c r="C11" s="29"/>
      <c r="D11" s="14"/>
      <c r="E11" s="14"/>
      <c r="F11" s="14"/>
      <c r="G11" s="14"/>
      <c r="I11" s="30" t="s">
        <v>6</v>
      </c>
      <c r="J11" s="14" t="str">
        <f aca="false">IFERROR(IF(G13=0, "", G13), "")</f>
        <v/>
      </c>
    </row>
    <row r="12" customFormat="false" ht="15.75" hidden="false" customHeight="false" outlineLevel="0" collapsed="false">
      <c r="I12" s="30" t="s">
        <v>33</v>
      </c>
      <c r="J12" s="27" t="n">
        <f aca="false">IF(COUNT(C4:G4)=0, "", (SUM(C7:C11)&gt;=C4)+(SUM(D7:D11)&gt;=D4)+(SUM(E7:E11)&gt;=E4)+(SUM(F7:F11)&gt;=F4)+(SUM(G7:G11)&gt;=G4))</f>
        <v>0</v>
      </c>
      <c r="L12" s="8" t="s">
        <v>8</v>
      </c>
      <c r="M12" s="8"/>
    </row>
    <row r="13" customFormat="false" ht="15.75" hidden="false" customHeight="false" outlineLevel="0" collapsed="false">
      <c r="B13" s="5" t="s">
        <v>7</v>
      </c>
      <c r="C13" s="6" t="str">
        <f aca="false">IFERROR(IF(SUM(C7:C11)=0, "", SUM(C7:C11)), "")</f>
        <v/>
      </c>
      <c r="D13" s="7" t="str">
        <f aca="false">IFERROR(IF(SUM(D7:D11)=0, "", SUM(D7:D11)), "")</f>
        <v/>
      </c>
      <c r="E13" s="7" t="str">
        <f aca="false">IFERROR(IF(SUM(E7:E11)=0, "", SUM(E7:E11)), "")</f>
        <v/>
      </c>
      <c r="F13" s="7" t="str">
        <f aca="false">IFERROR(IF(SUM(F7:F11)=0, "", SUM(F7:F11)), "")</f>
        <v/>
      </c>
      <c r="G13" s="7" t="str">
        <f aca="false">IFERROR(IF(SUM(G7:G11)=0, "", SUM(G7:G11)), "")</f>
        <v/>
      </c>
      <c r="L13" s="9" t="n">
        <f aca="false">(J12=5)+(J24=5)+(J36=5)+(J48=5)</f>
        <v>0</v>
      </c>
      <c r="M13" s="9"/>
    </row>
    <row r="16" customFormat="false" ht="15.75" hidden="false" customHeight="false" outlineLevel="0" collapsed="false">
      <c r="B16" s="23" t="s">
        <v>29</v>
      </c>
      <c r="C16" s="24" t="n">
        <v>3</v>
      </c>
      <c r="D16" s="24" t="n">
        <v>1</v>
      </c>
      <c r="E16" s="24" t="n">
        <v>1</v>
      </c>
      <c r="F16" s="24" t="n">
        <v>5</v>
      </c>
      <c r="G16" s="24" t="n">
        <v>2</v>
      </c>
    </row>
    <row r="17" customFormat="false" ht="15.75" hidden="false" customHeight="false" outlineLevel="0" collapsed="false">
      <c r="B17" s="23" t="s">
        <v>30</v>
      </c>
      <c r="C17" s="25" t="n">
        <f aca="false">IF(C16="", "", C16-SUM(C19:C23))</f>
        <v>3</v>
      </c>
      <c r="D17" s="25" t="n">
        <f aca="false">IF(D16="", "", D16-SUM(D19:D23))</f>
        <v>1</v>
      </c>
      <c r="E17" s="25" t="n">
        <f aca="false">IF(E16="", "", E16-SUM(E19:E23))</f>
        <v>1</v>
      </c>
      <c r="F17" s="25" t="n">
        <f aca="false">IF(F16="", "", F16-SUM(F19:F23))</f>
        <v>5</v>
      </c>
      <c r="G17" s="25" t="n">
        <f aca="false">IF(G16="", "", G16-SUM(G19:G23))</f>
        <v>2</v>
      </c>
    </row>
    <row r="18" customFormat="false" ht="15.75" hidden="false" customHeight="false" outlineLevel="0" collapsed="false">
      <c r="C18" s="3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I18" s="8" t="s">
        <v>48</v>
      </c>
      <c r="J18" s="8"/>
    </row>
    <row r="19" customFormat="false" ht="15.75" hidden="false" customHeight="false" outlineLevel="0" collapsed="false">
      <c r="B19" s="28" t="n">
        <v>46335</v>
      </c>
      <c r="C19" s="29"/>
      <c r="D19" s="14"/>
      <c r="E19" s="14"/>
      <c r="F19" s="14"/>
      <c r="G19" s="14"/>
      <c r="I19" s="30" t="s">
        <v>2</v>
      </c>
      <c r="J19" s="29" t="str">
        <f aca="false">IFERROR(IF(C25=0, "", C25), "")</f>
        <v/>
      </c>
    </row>
    <row r="20" customFormat="false" ht="15.75" hidden="false" customHeight="false" outlineLevel="0" collapsed="false">
      <c r="B20" s="31" t="n">
        <f aca="false">B19+1</f>
        <v>46336</v>
      </c>
      <c r="C20" s="32"/>
      <c r="D20" s="18"/>
      <c r="E20" s="18"/>
      <c r="F20" s="18"/>
      <c r="G20" s="18"/>
      <c r="I20" s="30" t="s">
        <v>3</v>
      </c>
      <c r="J20" s="14" t="str">
        <f aca="false">IFERROR(IF(D25=0, "", D25), "")</f>
        <v/>
      </c>
    </row>
    <row r="21" customFormat="false" ht="15.75" hidden="false" customHeight="false" outlineLevel="0" collapsed="false">
      <c r="B21" s="28" t="n">
        <f aca="false">B20+1</f>
        <v>46337</v>
      </c>
      <c r="C21" s="29"/>
      <c r="D21" s="14"/>
      <c r="E21" s="14"/>
      <c r="F21" s="14"/>
      <c r="G21" s="14"/>
      <c r="I21" s="30" t="s">
        <v>4</v>
      </c>
      <c r="J21" s="14" t="str">
        <f aca="false">IFERROR(IF(E25=0, "", E25), "")</f>
        <v/>
      </c>
    </row>
    <row r="22" customFormat="false" ht="15.75" hidden="false" customHeight="false" outlineLevel="0" collapsed="false">
      <c r="B22" s="31" t="n">
        <f aca="false">B21+1</f>
        <v>46338</v>
      </c>
      <c r="C22" s="32"/>
      <c r="D22" s="18"/>
      <c r="E22" s="18"/>
      <c r="F22" s="18"/>
      <c r="G22" s="18"/>
      <c r="I22" s="30" t="s">
        <v>5</v>
      </c>
      <c r="J22" s="14" t="str">
        <f aca="false">IFERROR(IF(F25=0, "", F25), "")</f>
        <v/>
      </c>
    </row>
    <row r="23" customFormat="false" ht="15.75" hidden="false" customHeight="false" outlineLevel="0" collapsed="false">
      <c r="B23" s="28" t="n">
        <f aca="false">B22+1</f>
        <v>46339</v>
      </c>
      <c r="C23" s="29"/>
      <c r="D23" s="14"/>
      <c r="E23" s="14"/>
      <c r="F23" s="14"/>
      <c r="G23" s="14"/>
      <c r="I23" s="30" t="s">
        <v>6</v>
      </c>
      <c r="J23" s="14" t="str">
        <f aca="false">IFERROR(IF(G25=0, "", G25), "")</f>
        <v/>
      </c>
    </row>
    <row r="24" customFormat="false" ht="15.75" hidden="false" customHeight="false" outlineLevel="0" collapsed="false">
      <c r="I24" s="30" t="s">
        <v>33</v>
      </c>
      <c r="J24" s="27" t="n">
        <f aca="false">IF(COUNT(C16:G16)=0, "", (SUM(C19:C23)&gt;=C16)+(SUM(D19:D23)&gt;=D16)+(SUM(E19:E23)&gt;=E16)+(SUM(F19:F23)&gt;=F16)+(SUM(G19:G23)&gt;=G16))</f>
        <v>0</v>
      </c>
    </row>
    <row r="25" customFormat="false" ht="15.75" hidden="false" customHeight="false" outlineLevel="0" collapsed="false">
      <c r="B25" s="5" t="s">
        <v>7</v>
      </c>
      <c r="C25" s="6" t="str">
        <f aca="false">IFERROR(IF(SUM(C19:C23)=0, "", SUM(C19:C23)), "")</f>
        <v/>
      </c>
      <c r="D25" s="7" t="str">
        <f aca="false">IFERROR(IF(SUM(D19:D23)=0, "", SUM(D19:D23)), "")</f>
        <v/>
      </c>
      <c r="E25" s="7" t="str">
        <f aca="false">IFERROR(IF(SUM(E19:E23)=0, "", SUM(E19:E23)), "")</f>
        <v/>
      </c>
      <c r="F25" s="7" t="str">
        <f aca="false">IFERROR(IF(SUM(F19:F23)=0, "", SUM(F19:F23)), "")</f>
        <v/>
      </c>
      <c r="G25" s="7" t="str">
        <f aca="false">IFERROR(IF(SUM(G19:G23)=0, "", SUM(G19:G23)), "")</f>
        <v/>
      </c>
    </row>
    <row r="28" customFormat="false" ht="15.75" hidden="false" customHeight="false" outlineLevel="0" collapsed="false">
      <c r="B28" s="23" t="s">
        <v>29</v>
      </c>
      <c r="C28" s="24" t="n">
        <v>3</v>
      </c>
      <c r="D28" s="24" t="n">
        <v>1</v>
      </c>
      <c r="E28" s="24" t="n">
        <v>1</v>
      </c>
      <c r="F28" s="24" t="n">
        <v>5</v>
      </c>
      <c r="G28" s="24" t="n">
        <v>2</v>
      </c>
    </row>
    <row r="29" customFormat="false" ht="15.75" hidden="false" customHeight="false" outlineLevel="0" collapsed="false">
      <c r="B29" s="23" t="s">
        <v>30</v>
      </c>
      <c r="C29" s="25" t="n">
        <f aca="false">IF(C28="", "", C28-SUM(C31:C35))</f>
        <v>3</v>
      </c>
      <c r="D29" s="25" t="n">
        <f aca="false">IF(D28="", "", D28-SUM(D31:D35))</f>
        <v>1</v>
      </c>
      <c r="E29" s="25" t="n">
        <f aca="false">IF(E28="", "", E28-SUM(E31:E35))</f>
        <v>1</v>
      </c>
      <c r="F29" s="25" t="n">
        <f aca="false">IF(F28="", "", F28-SUM(F31:F35))</f>
        <v>5</v>
      </c>
      <c r="G29" s="25" t="n">
        <f aca="false">IF(G28="", "", G28-SUM(G31:G35))</f>
        <v>2</v>
      </c>
    </row>
    <row r="30" customFormat="false" ht="15.75" hidden="false" customHeight="false" outlineLevel="0" collapsed="false">
      <c r="C30" s="3" t="s">
        <v>2</v>
      </c>
      <c r="D30" s="4" t="s">
        <v>3</v>
      </c>
      <c r="E30" s="4" t="s">
        <v>4</v>
      </c>
      <c r="F30" s="4" t="s">
        <v>5</v>
      </c>
      <c r="G30" s="4" t="s">
        <v>6</v>
      </c>
      <c r="I30" s="8" t="s">
        <v>49</v>
      </c>
      <c r="J30" s="8"/>
    </row>
    <row r="31" customFormat="false" ht="15.75" hidden="false" customHeight="false" outlineLevel="0" collapsed="false">
      <c r="B31" s="28" t="n">
        <v>46342</v>
      </c>
      <c r="C31" s="29"/>
      <c r="D31" s="14"/>
      <c r="E31" s="14"/>
      <c r="F31" s="14"/>
      <c r="G31" s="14"/>
      <c r="I31" s="30" t="s">
        <v>2</v>
      </c>
      <c r="J31" s="29" t="str">
        <f aca="false">IFERROR(IF(C37=0, "", C37), "")</f>
        <v/>
      </c>
    </row>
    <row r="32" customFormat="false" ht="15.75" hidden="false" customHeight="false" outlineLevel="0" collapsed="false">
      <c r="B32" s="31" t="n">
        <f aca="false">B31+1</f>
        <v>46343</v>
      </c>
      <c r="C32" s="32"/>
      <c r="D32" s="18"/>
      <c r="E32" s="18"/>
      <c r="F32" s="18"/>
      <c r="G32" s="18"/>
      <c r="I32" s="30" t="s">
        <v>3</v>
      </c>
      <c r="J32" s="14" t="str">
        <f aca="false">IFERROR(IF(D37=0, "", D37), "")</f>
        <v/>
      </c>
    </row>
    <row r="33" customFormat="false" ht="15.75" hidden="false" customHeight="false" outlineLevel="0" collapsed="false">
      <c r="B33" s="28" t="n">
        <f aca="false">B32+1</f>
        <v>46344</v>
      </c>
      <c r="C33" s="29"/>
      <c r="D33" s="14"/>
      <c r="E33" s="14"/>
      <c r="F33" s="14"/>
      <c r="G33" s="14"/>
      <c r="I33" s="30" t="s">
        <v>4</v>
      </c>
      <c r="J33" s="14" t="str">
        <f aca="false">IFERROR(IF(E37=0, "", E37), "")</f>
        <v/>
      </c>
    </row>
    <row r="34" customFormat="false" ht="15.75" hidden="false" customHeight="false" outlineLevel="0" collapsed="false">
      <c r="B34" s="31" t="n">
        <f aca="false">B33+1</f>
        <v>46345</v>
      </c>
      <c r="C34" s="32"/>
      <c r="D34" s="18"/>
      <c r="E34" s="18"/>
      <c r="F34" s="18"/>
      <c r="G34" s="18"/>
      <c r="I34" s="30" t="s">
        <v>5</v>
      </c>
      <c r="J34" s="14" t="str">
        <f aca="false">IFERROR(IF(F37=0, "", F37), "")</f>
        <v/>
      </c>
    </row>
    <row r="35" customFormat="false" ht="15.75" hidden="false" customHeight="false" outlineLevel="0" collapsed="false">
      <c r="B35" s="28" t="n">
        <f aca="false">B34+1</f>
        <v>46346</v>
      </c>
      <c r="C35" s="29"/>
      <c r="D35" s="14"/>
      <c r="E35" s="14"/>
      <c r="F35" s="14"/>
      <c r="G35" s="14"/>
      <c r="I35" s="30" t="s">
        <v>6</v>
      </c>
      <c r="J35" s="14" t="str">
        <f aca="false">IFERROR(IF(G37=0, "", G37), "")</f>
        <v/>
      </c>
    </row>
    <row r="36" customFormat="false" ht="15.75" hidden="false" customHeight="false" outlineLevel="0" collapsed="false">
      <c r="I36" s="30" t="s">
        <v>33</v>
      </c>
      <c r="J36" s="27" t="n">
        <f aca="false">IF(COUNT(C28:G28)=0, "", (SUM(C31:C35)&gt;=C28)+(SUM(D31:D35)&gt;=D28)+(SUM(E31:E35)&gt;=E28)+(SUM(F31:F35)&gt;=F28)+(SUM(G31:G35)&gt;=G28))</f>
        <v>0</v>
      </c>
    </row>
    <row r="37" customFormat="false" ht="15.75" hidden="false" customHeight="false" outlineLevel="0" collapsed="false">
      <c r="B37" s="5" t="s">
        <v>7</v>
      </c>
      <c r="C37" s="6" t="str">
        <f aca="false">IFERROR(IF(SUM(C31:C35)=0, "", SUM(C31:C35)), "")</f>
        <v/>
      </c>
      <c r="D37" s="7" t="str">
        <f aca="false">IFERROR(IF(SUM(D31:D35)=0, "", SUM(D31:D35)), "")</f>
        <v/>
      </c>
      <c r="E37" s="7" t="str">
        <f aca="false">IFERROR(IF(SUM(E31:E35)=0, "", SUM(E31:E35)), "")</f>
        <v/>
      </c>
      <c r="F37" s="7" t="str">
        <f aca="false">IFERROR(IF(SUM(F31:F35)=0, "", SUM(F31:F35)), "")</f>
        <v/>
      </c>
      <c r="G37" s="7" t="str">
        <f aca="false">IFERROR(IF(SUM(G31:G35)=0, "", SUM(G31:G35)), "")</f>
        <v/>
      </c>
    </row>
    <row r="40" customFormat="false" ht="15.75" hidden="false" customHeight="false" outlineLevel="0" collapsed="false">
      <c r="B40" s="23" t="s">
        <v>29</v>
      </c>
      <c r="C40" s="24" t="n">
        <v>3</v>
      </c>
      <c r="D40" s="24" t="n">
        <v>1</v>
      </c>
      <c r="E40" s="24" t="n">
        <v>1</v>
      </c>
      <c r="F40" s="24" t="n">
        <v>5</v>
      </c>
      <c r="G40" s="24" t="n">
        <v>2</v>
      </c>
    </row>
    <row r="41" customFormat="false" ht="15.75" hidden="false" customHeight="false" outlineLevel="0" collapsed="false">
      <c r="B41" s="23" t="s">
        <v>30</v>
      </c>
      <c r="C41" s="25" t="n">
        <f aca="false">IF(C40="", "", C40-SUM(C43:C47))</f>
        <v>3</v>
      </c>
      <c r="D41" s="25" t="n">
        <f aca="false">IF(D40="", "", D40-SUM(D43:D47))</f>
        <v>1</v>
      </c>
      <c r="E41" s="25" t="n">
        <f aca="false">IF(E40="", "", E40-SUM(E43:E47))</f>
        <v>1</v>
      </c>
      <c r="F41" s="25" t="n">
        <f aca="false">IF(F40="", "", F40-SUM(F43:F47))</f>
        <v>5</v>
      </c>
      <c r="G41" s="25" t="n">
        <f aca="false">IF(G40="", "", G40-SUM(G43:G47))</f>
        <v>2</v>
      </c>
    </row>
    <row r="42" customFormat="false" ht="15.75" hidden="false" customHeight="false" outlineLevel="0" collapsed="false">
      <c r="C42" s="3" t="s">
        <v>2</v>
      </c>
      <c r="D42" s="4" t="s">
        <v>3</v>
      </c>
      <c r="E42" s="4" t="s">
        <v>4</v>
      </c>
      <c r="F42" s="4" t="s">
        <v>5</v>
      </c>
      <c r="G42" s="4" t="s">
        <v>6</v>
      </c>
      <c r="I42" s="8" t="s">
        <v>50</v>
      </c>
      <c r="J42" s="8"/>
    </row>
    <row r="43" customFormat="false" ht="15.75" hidden="false" customHeight="false" outlineLevel="0" collapsed="false">
      <c r="B43" s="28" t="n">
        <v>46349</v>
      </c>
      <c r="C43" s="29"/>
      <c r="D43" s="14"/>
      <c r="E43" s="14"/>
      <c r="F43" s="14"/>
      <c r="G43" s="14"/>
      <c r="I43" s="30" t="s">
        <v>2</v>
      </c>
      <c r="J43" s="29" t="str">
        <f aca="false">IFERROR(IF(C49=0, "", C49), "")</f>
        <v/>
      </c>
    </row>
    <row r="44" customFormat="false" ht="15.75" hidden="false" customHeight="false" outlineLevel="0" collapsed="false">
      <c r="B44" s="31" t="n">
        <f aca="false">B43+1</f>
        <v>46350</v>
      </c>
      <c r="C44" s="32"/>
      <c r="D44" s="18"/>
      <c r="E44" s="18"/>
      <c r="F44" s="18"/>
      <c r="G44" s="18"/>
      <c r="I44" s="30" t="s">
        <v>3</v>
      </c>
      <c r="J44" s="14" t="str">
        <f aca="false">IFERROR(IF(D49=0, "", D49), "")</f>
        <v/>
      </c>
    </row>
    <row r="45" customFormat="false" ht="15.75" hidden="false" customHeight="false" outlineLevel="0" collapsed="false">
      <c r="B45" s="28" t="n">
        <f aca="false">B44+1</f>
        <v>46351</v>
      </c>
      <c r="C45" s="29"/>
      <c r="D45" s="14"/>
      <c r="E45" s="14"/>
      <c r="F45" s="14"/>
      <c r="G45" s="14"/>
      <c r="I45" s="30" t="s">
        <v>4</v>
      </c>
      <c r="J45" s="14" t="str">
        <f aca="false">IFERROR(IF(E49=0, "", E49), "")</f>
        <v/>
      </c>
    </row>
    <row r="46" customFormat="false" ht="15.75" hidden="false" customHeight="false" outlineLevel="0" collapsed="false">
      <c r="B46" s="31" t="n">
        <f aca="false">B45+1</f>
        <v>46352</v>
      </c>
      <c r="C46" s="32"/>
      <c r="D46" s="18"/>
      <c r="E46" s="18"/>
      <c r="F46" s="18"/>
      <c r="G46" s="18"/>
      <c r="I46" s="30" t="s">
        <v>5</v>
      </c>
      <c r="J46" s="14" t="str">
        <f aca="false">IFERROR(IF(F49=0, "", F49), "")</f>
        <v/>
      </c>
    </row>
    <row r="47" customFormat="false" ht="15.75" hidden="false" customHeight="false" outlineLevel="0" collapsed="false">
      <c r="B47" s="28" t="n">
        <f aca="false">B46+1</f>
        <v>46353</v>
      </c>
      <c r="C47" s="29"/>
      <c r="D47" s="14"/>
      <c r="E47" s="14"/>
      <c r="F47" s="14"/>
      <c r="G47" s="14"/>
      <c r="I47" s="30" t="s">
        <v>6</v>
      </c>
      <c r="J47" s="14" t="str">
        <f aca="false">IFERROR(IF(G49=0, "", G49), "")</f>
        <v/>
      </c>
    </row>
    <row r="48" customFormat="false" ht="15.75" hidden="false" customHeight="false" outlineLevel="0" collapsed="false">
      <c r="I48" s="30" t="s">
        <v>33</v>
      </c>
      <c r="J48" s="27" t="n">
        <f aca="false">IF(COUNT(C40:G40)=0, "", (SUM(C43:C47)&gt;=C40)+(SUM(D43:D47)&gt;=D40)+(SUM(E43:E47)&gt;=E40)+(SUM(F43:F47)&gt;=F40)+(SUM(G43:G47)&gt;=G40))</f>
        <v>0</v>
      </c>
    </row>
    <row r="49" customFormat="false" ht="15.75" hidden="false" customHeight="false" outlineLevel="0" collapsed="false">
      <c r="B49" s="5" t="s">
        <v>7</v>
      </c>
      <c r="C49" s="6" t="str">
        <f aca="false">IFERROR(IF(SUM(C43:C47)=0, "", SUM(C43:C47)), "")</f>
        <v/>
      </c>
      <c r="D49" s="7" t="str">
        <f aca="false">IFERROR(IF(SUM(D43:D47)=0, "", SUM(D43:D47)), "")</f>
        <v/>
      </c>
      <c r="E49" s="7" t="str">
        <f aca="false">IFERROR(IF(SUM(E43:E47)=0, "", SUM(E43:E47)), "")</f>
        <v/>
      </c>
      <c r="F49" s="7" t="str">
        <f aca="false">IFERROR(IF(SUM(F43:F47)=0, "", SUM(F43:F47)), "")</f>
        <v/>
      </c>
      <c r="G49" s="7" t="str">
        <f aca="false">IFERROR(IF(SUM(G43:G47)=0, "", SUM(G43:G47)), "")</f>
        <v/>
      </c>
    </row>
  </sheetData>
  <mergeCells count="8">
    <mergeCell ref="B2:C2"/>
    <mergeCell ref="L5:M5"/>
    <mergeCell ref="I6:J6"/>
    <mergeCell ref="L12:M12"/>
    <mergeCell ref="L13:M13"/>
    <mergeCell ref="I18:J18"/>
    <mergeCell ref="I30:J30"/>
    <mergeCell ref="I42:J42"/>
  </mergeCells>
  <conditionalFormatting sqref="C5 C17 C29 C41 D5 D17 D29 D41 E5 E17 E29 E41 F5 F17 F29 F41 G5 G17 G29 G41">
    <cfRule type="cellIs" priority="2" operator="lessThanOrEqual" aboveAverage="0" equalAverage="0" bottom="0" percent="0" rank="0" text="" dxfId="0">
      <formula>0</formula>
    </cfRule>
  </conditionalFormatting>
  <conditionalFormatting sqref="J12 J24 J36 J48">
    <cfRule type="cellIs" priority="3" operator="greaterThanOrEqual" aboveAverage="0" equalAverage="0" bottom="0" percent="0" rank="0" text="" dxfId="0">
      <formula>5</formula>
    </cfRule>
  </conditionalFormatting>
  <conditionalFormatting sqref="B6:B13 B18:B25 B30:B37 B42:B49">
    <cfRule type="timePeriod" priority="4" timePeriod="today" dxfId="1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3.38"/>
    <col collapsed="false" customWidth="true" hidden="false" outlineLevel="0" max="6" min="3" style="0" width="12.5"/>
    <col collapsed="false" customWidth="true" hidden="false" outlineLevel="0" max="7" min="7" style="0" width="13"/>
    <col collapsed="false" customWidth="true" hidden="false" outlineLevel="0" max="8" min="8" style="0" width="3.5"/>
    <col collapsed="false" customWidth="true" hidden="false" outlineLevel="0" max="9" min="9" style="0" width="14.51"/>
    <col collapsed="false" customWidth="true" hidden="false" outlineLevel="0" max="10" min="10" style="0" width="13.5"/>
    <col collapsed="false" customWidth="true" hidden="false" outlineLevel="0" max="11" min="11" style="0" width="3.5"/>
    <col collapsed="false" customWidth="true" hidden="false" outlineLevel="0" max="12" min="12" style="0" width="16"/>
    <col collapsed="false" customWidth="true" hidden="false" outlineLevel="0" max="13" min="13" style="0" width="11"/>
  </cols>
  <sheetData>
    <row r="2" customFormat="false" ht="15.75" hidden="false" customHeight="false" outlineLevel="0" collapsed="false">
      <c r="B2" s="22" t="n">
        <v>46357</v>
      </c>
      <c r="C2" s="22"/>
    </row>
    <row r="4" customFormat="false" ht="15.75" hidden="false" customHeight="false" outlineLevel="0" collapsed="false">
      <c r="B4" s="23" t="s">
        <v>29</v>
      </c>
      <c r="C4" s="24" t="n">
        <v>3</v>
      </c>
      <c r="D4" s="24" t="n">
        <v>1</v>
      </c>
      <c r="E4" s="24" t="n">
        <v>1</v>
      </c>
      <c r="F4" s="24" t="n">
        <v>5</v>
      </c>
      <c r="G4" s="24" t="n">
        <v>2</v>
      </c>
    </row>
    <row r="5" customFormat="false" ht="15.75" hidden="false" customHeight="false" outlineLevel="0" collapsed="false">
      <c r="B5" s="23" t="s">
        <v>30</v>
      </c>
      <c r="C5" s="25" t="n">
        <f aca="false">IF(C4="", "", C4-SUM(C7:C11))</f>
        <v>3</v>
      </c>
      <c r="D5" s="25" t="n">
        <f aca="false">IF(D4="", "", D4-SUM(D7:D11))</f>
        <v>1</v>
      </c>
      <c r="E5" s="25" t="n">
        <f aca="false">IF(E4="", "", E4-SUM(E7:E11))</f>
        <v>1</v>
      </c>
      <c r="F5" s="25" t="n">
        <f aca="false">IF(F4="", "", F4-SUM(F7:F11))</f>
        <v>5</v>
      </c>
      <c r="G5" s="25" t="n">
        <f aca="false">IF(G4="", "", G4-SUM(G7:G11))</f>
        <v>2</v>
      </c>
      <c r="L5" s="8" t="s">
        <v>51</v>
      </c>
      <c r="M5" s="8"/>
    </row>
    <row r="6" customFormat="false" ht="15.75" hidden="false" customHeight="false" outlineLevel="0" collapsed="false">
      <c r="C6" s="3" t="s">
        <v>2</v>
      </c>
      <c r="D6" s="4" t="s">
        <v>3</v>
      </c>
      <c r="E6" s="4" t="s">
        <v>4</v>
      </c>
      <c r="F6" s="4" t="s">
        <v>5</v>
      </c>
      <c r="G6" s="4" t="s">
        <v>6</v>
      </c>
      <c r="I6" s="8" t="s">
        <v>52</v>
      </c>
      <c r="J6" s="8"/>
      <c r="L6" s="26" t="s">
        <v>2</v>
      </c>
      <c r="M6" s="27" t="n">
        <f aca="false">SUM(J7,J19,J31,J43,J55)</f>
        <v>0</v>
      </c>
    </row>
    <row r="7" customFormat="false" ht="15.75" hidden="false" customHeight="false" outlineLevel="0" collapsed="false">
      <c r="B7" s="28" t="n">
        <v>46356</v>
      </c>
      <c r="C7" s="29"/>
      <c r="D7" s="14"/>
      <c r="E7" s="14"/>
      <c r="F7" s="14"/>
      <c r="G7" s="14"/>
      <c r="I7" s="30" t="s">
        <v>2</v>
      </c>
      <c r="J7" s="29" t="str">
        <f aca="false">IFERROR(IF(C13=0, "", C13), "")</f>
        <v/>
      </c>
      <c r="L7" s="26" t="s">
        <v>3</v>
      </c>
      <c r="M7" s="27" t="n">
        <f aca="false">SUM(J8,J20,J32,J44,J56)</f>
        <v>0</v>
      </c>
    </row>
    <row r="8" customFormat="false" ht="15.75" hidden="false" customHeight="false" outlineLevel="0" collapsed="false">
      <c r="B8" s="31" t="n">
        <f aca="false">B7+1</f>
        <v>46357</v>
      </c>
      <c r="C8" s="32"/>
      <c r="D8" s="18"/>
      <c r="E8" s="18"/>
      <c r="F8" s="18"/>
      <c r="G8" s="18"/>
      <c r="I8" s="30" t="s">
        <v>3</v>
      </c>
      <c r="J8" s="14" t="str">
        <f aca="false">IFERROR(IF(D13=0, "", D13), "")</f>
        <v/>
      </c>
      <c r="L8" s="26" t="s">
        <v>4</v>
      </c>
      <c r="M8" s="27" t="n">
        <f aca="false">SUM(J9,J21,J33,J45,J57)</f>
        <v>0</v>
      </c>
    </row>
    <row r="9" customFormat="false" ht="15.75" hidden="false" customHeight="false" outlineLevel="0" collapsed="false">
      <c r="B9" s="28" t="n">
        <f aca="false">B8+1</f>
        <v>46358</v>
      </c>
      <c r="C9" s="29"/>
      <c r="D9" s="14"/>
      <c r="E9" s="14"/>
      <c r="F9" s="14"/>
      <c r="G9" s="14"/>
      <c r="I9" s="30" t="s">
        <v>4</v>
      </c>
      <c r="J9" s="14" t="str">
        <f aca="false">IFERROR(IF(E13=0, "", E13), "")</f>
        <v/>
      </c>
      <c r="L9" s="26" t="s">
        <v>5</v>
      </c>
      <c r="M9" s="27" t="n">
        <f aca="false">SUM(J10,J22,J34,J46,J58)</f>
        <v>0</v>
      </c>
    </row>
    <row r="10" customFormat="false" ht="15.75" hidden="false" customHeight="false" outlineLevel="0" collapsed="false">
      <c r="B10" s="31" t="n">
        <f aca="false">B9+1</f>
        <v>46359</v>
      </c>
      <c r="C10" s="32"/>
      <c r="D10" s="18"/>
      <c r="E10" s="18"/>
      <c r="F10" s="18"/>
      <c r="G10" s="18"/>
      <c r="I10" s="30" t="s">
        <v>5</v>
      </c>
      <c r="J10" s="14" t="str">
        <f aca="false">IFERROR(IF(F13=0, "", F13), "")</f>
        <v/>
      </c>
      <c r="L10" s="26" t="s">
        <v>6</v>
      </c>
      <c r="M10" s="27" t="n">
        <f aca="false">SUM(J11,J23,J35,J47,J59)</f>
        <v>0</v>
      </c>
    </row>
    <row r="11" customFormat="false" ht="15.75" hidden="false" customHeight="false" outlineLevel="0" collapsed="false">
      <c r="B11" s="28" t="n">
        <f aca="false">B10+1</f>
        <v>46360</v>
      </c>
      <c r="C11" s="29"/>
      <c r="D11" s="14"/>
      <c r="E11" s="14"/>
      <c r="F11" s="14"/>
      <c r="G11" s="14"/>
      <c r="I11" s="30" t="s">
        <v>6</v>
      </c>
      <c r="J11" s="14" t="str">
        <f aca="false">IFERROR(IF(G13=0, "", G13), "")</f>
        <v/>
      </c>
    </row>
    <row r="12" customFormat="false" ht="15.75" hidden="false" customHeight="false" outlineLevel="0" collapsed="false">
      <c r="I12" s="30" t="s">
        <v>33</v>
      </c>
      <c r="J12" s="27" t="n">
        <f aca="false">IF(COUNT(C4:G4)=0, "", (SUM(C7:C11)&gt;=C4)+(SUM(D7:D11)&gt;=D4)+(SUM(E7:E11)&gt;=E4)+(SUM(F7:F11)&gt;=F4)+(SUM(G7:G11)&gt;=G4))</f>
        <v>0</v>
      </c>
      <c r="L12" s="8" t="s">
        <v>8</v>
      </c>
      <c r="M12" s="8"/>
    </row>
    <row r="13" customFormat="false" ht="15.75" hidden="false" customHeight="false" outlineLevel="0" collapsed="false">
      <c r="B13" s="5" t="s">
        <v>7</v>
      </c>
      <c r="C13" s="6" t="str">
        <f aca="false">IFERROR(IF(SUM(C7:C11)=0, "", SUM(C7:C11)), "")</f>
        <v/>
      </c>
      <c r="D13" s="7" t="str">
        <f aca="false">IFERROR(IF(SUM(D7:D11)=0, "", SUM(D7:D11)), "")</f>
        <v/>
      </c>
      <c r="E13" s="7" t="str">
        <f aca="false">IFERROR(IF(SUM(E7:E11)=0, "", SUM(E7:E11)), "")</f>
        <v/>
      </c>
      <c r="F13" s="7" t="str">
        <f aca="false">IFERROR(IF(SUM(F7:F11)=0, "", SUM(F7:F11)), "")</f>
        <v/>
      </c>
      <c r="G13" s="7" t="str">
        <f aca="false">IFERROR(IF(SUM(G7:G11)=0, "", SUM(G7:G11)), "")</f>
        <v/>
      </c>
      <c r="L13" s="9" t="n">
        <f aca="false">(J12=5)+(J24=5)+(J36=5)+(J48=5)+(J60=5)</f>
        <v>0</v>
      </c>
      <c r="M13" s="9"/>
    </row>
    <row r="16" customFormat="false" ht="15.75" hidden="false" customHeight="false" outlineLevel="0" collapsed="false">
      <c r="B16" s="23" t="s">
        <v>29</v>
      </c>
      <c r="C16" s="24" t="n">
        <v>3</v>
      </c>
      <c r="D16" s="24" t="n">
        <v>1</v>
      </c>
      <c r="E16" s="24" t="n">
        <v>1</v>
      </c>
      <c r="F16" s="24" t="n">
        <v>5</v>
      </c>
      <c r="G16" s="24" t="n">
        <v>2</v>
      </c>
    </row>
    <row r="17" customFormat="false" ht="15.75" hidden="false" customHeight="false" outlineLevel="0" collapsed="false">
      <c r="B17" s="23" t="s">
        <v>30</v>
      </c>
      <c r="C17" s="25" t="n">
        <f aca="false">IF(C16="", "", C16-SUM(C19:C23))</f>
        <v>3</v>
      </c>
      <c r="D17" s="25" t="n">
        <f aca="false">IF(D16="", "", D16-SUM(D19:D23))</f>
        <v>1</v>
      </c>
      <c r="E17" s="25" t="n">
        <f aca="false">IF(E16="", "", E16-SUM(E19:E23))</f>
        <v>1</v>
      </c>
      <c r="F17" s="25" t="n">
        <f aca="false">IF(F16="", "", F16-SUM(F19:F23))</f>
        <v>5</v>
      </c>
      <c r="G17" s="25" t="n">
        <f aca="false">IF(G16="", "", G16-SUM(G19:G23))</f>
        <v>2</v>
      </c>
    </row>
    <row r="18" customFormat="false" ht="15.75" hidden="false" customHeight="false" outlineLevel="0" collapsed="false">
      <c r="C18" s="3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I18" s="8" t="s">
        <v>53</v>
      </c>
      <c r="J18" s="8"/>
    </row>
    <row r="19" customFormat="false" ht="15.75" hidden="false" customHeight="false" outlineLevel="0" collapsed="false">
      <c r="B19" s="28" t="n">
        <v>46363</v>
      </c>
      <c r="C19" s="29"/>
      <c r="D19" s="14"/>
      <c r="E19" s="14"/>
      <c r="F19" s="14"/>
      <c r="G19" s="14"/>
      <c r="I19" s="30" t="s">
        <v>2</v>
      </c>
      <c r="J19" s="29" t="str">
        <f aca="false">IFERROR(IF(C25=0, "", C25), "")</f>
        <v/>
      </c>
    </row>
    <row r="20" customFormat="false" ht="15.75" hidden="false" customHeight="false" outlineLevel="0" collapsed="false">
      <c r="B20" s="31" t="n">
        <f aca="false">B19+1</f>
        <v>46364</v>
      </c>
      <c r="C20" s="32"/>
      <c r="D20" s="18"/>
      <c r="E20" s="18"/>
      <c r="F20" s="18"/>
      <c r="G20" s="18"/>
      <c r="I20" s="30" t="s">
        <v>3</v>
      </c>
      <c r="J20" s="14" t="str">
        <f aca="false">IFERROR(IF(D25=0, "", D25), "")</f>
        <v/>
      </c>
    </row>
    <row r="21" customFormat="false" ht="15.75" hidden="false" customHeight="false" outlineLevel="0" collapsed="false">
      <c r="B21" s="28" t="n">
        <f aca="false">B20+1</f>
        <v>46365</v>
      </c>
      <c r="C21" s="29"/>
      <c r="D21" s="14"/>
      <c r="E21" s="14"/>
      <c r="F21" s="14"/>
      <c r="G21" s="14"/>
      <c r="I21" s="30" t="s">
        <v>4</v>
      </c>
      <c r="J21" s="14" t="str">
        <f aca="false">IFERROR(IF(E25=0, "", E25), "")</f>
        <v/>
      </c>
    </row>
    <row r="22" customFormat="false" ht="15.75" hidden="false" customHeight="false" outlineLevel="0" collapsed="false">
      <c r="B22" s="31" t="n">
        <f aca="false">B21+1</f>
        <v>46366</v>
      </c>
      <c r="C22" s="32"/>
      <c r="D22" s="18"/>
      <c r="E22" s="18"/>
      <c r="F22" s="18"/>
      <c r="G22" s="18"/>
      <c r="I22" s="30" t="s">
        <v>5</v>
      </c>
      <c r="J22" s="14" t="str">
        <f aca="false">IFERROR(IF(F25=0, "", F25), "")</f>
        <v/>
      </c>
    </row>
    <row r="23" customFormat="false" ht="15.75" hidden="false" customHeight="false" outlineLevel="0" collapsed="false">
      <c r="B23" s="28" t="n">
        <f aca="false">B22+1</f>
        <v>46367</v>
      </c>
      <c r="C23" s="29"/>
      <c r="D23" s="14"/>
      <c r="E23" s="14"/>
      <c r="F23" s="14"/>
      <c r="G23" s="14"/>
      <c r="I23" s="30" t="s">
        <v>6</v>
      </c>
      <c r="J23" s="14" t="str">
        <f aca="false">IFERROR(IF(G25=0, "", G25), "")</f>
        <v/>
      </c>
    </row>
    <row r="24" customFormat="false" ht="15.75" hidden="false" customHeight="false" outlineLevel="0" collapsed="false">
      <c r="I24" s="30" t="s">
        <v>33</v>
      </c>
      <c r="J24" s="27" t="n">
        <f aca="false">IF(COUNT(C16:G16)=0, "", (SUM(C19:C23)&gt;=C16)+(SUM(D19:D23)&gt;=D16)+(SUM(E19:E23)&gt;=E16)+(SUM(F19:F23)&gt;=F16)+(SUM(G19:G23)&gt;=G16))</f>
        <v>0</v>
      </c>
    </row>
    <row r="25" customFormat="false" ht="15.75" hidden="false" customHeight="false" outlineLevel="0" collapsed="false">
      <c r="B25" s="5" t="s">
        <v>7</v>
      </c>
      <c r="C25" s="6" t="str">
        <f aca="false">IFERROR(IF(SUM(C19:C23)=0, "", SUM(C19:C23)), "")</f>
        <v/>
      </c>
      <c r="D25" s="7" t="str">
        <f aca="false">IFERROR(IF(SUM(D19:D23)=0, "", SUM(D19:D23)), "")</f>
        <v/>
      </c>
      <c r="E25" s="7" t="str">
        <f aca="false">IFERROR(IF(SUM(E19:E23)=0, "", SUM(E19:E23)), "")</f>
        <v/>
      </c>
      <c r="F25" s="7" t="str">
        <f aca="false">IFERROR(IF(SUM(F19:F23)=0, "", SUM(F19:F23)), "")</f>
        <v/>
      </c>
      <c r="G25" s="7" t="str">
        <f aca="false">IFERROR(IF(SUM(G19:G23)=0, "", SUM(G19:G23)), "")</f>
        <v/>
      </c>
    </row>
    <row r="28" customFormat="false" ht="15.75" hidden="false" customHeight="false" outlineLevel="0" collapsed="false">
      <c r="B28" s="23" t="s">
        <v>29</v>
      </c>
      <c r="C28" s="24" t="n">
        <v>3</v>
      </c>
      <c r="D28" s="24" t="n">
        <v>1</v>
      </c>
      <c r="E28" s="24" t="n">
        <v>1</v>
      </c>
      <c r="F28" s="24" t="n">
        <v>5</v>
      </c>
      <c r="G28" s="24" t="n">
        <v>2</v>
      </c>
    </row>
    <row r="29" customFormat="false" ht="15.75" hidden="false" customHeight="false" outlineLevel="0" collapsed="false">
      <c r="B29" s="23" t="s">
        <v>30</v>
      </c>
      <c r="C29" s="25" t="n">
        <f aca="false">IF(C28="", "", C28-SUM(C31:C35))</f>
        <v>3</v>
      </c>
      <c r="D29" s="25" t="n">
        <f aca="false">IF(D28="", "", D28-SUM(D31:D35))</f>
        <v>1</v>
      </c>
      <c r="E29" s="25" t="n">
        <f aca="false">IF(E28="", "", E28-SUM(E31:E35))</f>
        <v>1</v>
      </c>
      <c r="F29" s="25" t="n">
        <f aca="false">IF(F28="", "", F28-SUM(F31:F35))</f>
        <v>5</v>
      </c>
      <c r="G29" s="25" t="n">
        <f aca="false">IF(G28="", "", G28-SUM(G31:G35))</f>
        <v>2</v>
      </c>
    </row>
    <row r="30" customFormat="false" ht="15.75" hidden="false" customHeight="false" outlineLevel="0" collapsed="false">
      <c r="C30" s="3" t="s">
        <v>2</v>
      </c>
      <c r="D30" s="4" t="s">
        <v>3</v>
      </c>
      <c r="E30" s="4" t="s">
        <v>4</v>
      </c>
      <c r="F30" s="4" t="s">
        <v>5</v>
      </c>
      <c r="G30" s="4" t="s">
        <v>6</v>
      </c>
      <c r="I30" s="8" t="s">
        <v>54</v>
      </c>
      <c r="J30" s="8"/>
    </row>
    <row r="31" customFormat="false" ht="15.75" hidden="false" customHeight="false" outlineLevel="0" collapsed="false">
      <c r="B31" s="28" t="n">
        <v>46370</v>
      </c>
      <c r="C31" s="29"/>
      <c r="D31" s="14"/>
      <c r="E31" s="14"/>
      <c r="F31" s="14"/>
      <c r="G31" s="14"/>
      <c r="I31" s="30" t="s">
        <v>2</v>
      </c>
      <c r="J31" s="29" t="str">
        <f aca="false">IFERROR(IF(C37=0, "", C37), "")</f>
        <v/>
      </c>
    </row>
    <row r="32" customFormat="false" ht="15.75" hidden="false" customHeight="false" outlineLevel="0" collapsed="false">
      <c r="B32" s="31" t="n">
        <f aca="false">B31+1</f>
        <v>46371</v>
      </c>
      <c r="C32" s="32"/>
      <c r="D32" s="18"/>
      <c r="E32" s="18"/>
      <c r="F32" s="18"/>
      <c r="G32" s="18"/>
      <c r="I32" s="30" t="s">
        <v>3</v>
      </c>
      <c r="J32" s="14" t="str">
        <f aca="false">IFERROR(IF(D37=0, "", D37), "")</f>
        <v/>
      </c>
    </row>
    <row r="33" customFormat="false" ht="15.75" hidden="false" customHeight="false" outlineLevel="0" collapsed="false">
      <c r="B33" s="28" t="n">
        <f aca="false">B32+1</f>
        <v>46372</v>
      </c>
      <c r="C33" s="29"/>
      <c r="D33" s="14"/>
      <c r="E33" s="14"/>
      <c r="F33" s="14"/>
      <c r="G33" s="14"/>
      <c r="I33" s="30" t="s">
        <v>4</v>
      </c>
      <c r="J33" s="14" t="str">
        <f aca="false">IFERROR(IF(E37=0, "", E37), "")</f>
        <v/>
      </c>
    </row>
    <row r="34" customFormat="false" ht="15.75" hidden="false" customHeight="false" outlineLevel="0" collapsed="false">
      <c r="B34" s="31" t="n">
        <f aca="false">B33+1</f>
        <v>46373</v>
      </c>
      <c r="C34" s="32"/>
      <c r="D34" s="18"/>
      <c r="E34" s="18"/>
      <c r="F34" s="18"/>
      <c r="G34" s="18"/>
      <c r="I34" s="30" t="s">
        <v>5</v>
      </c>
      <c r="J34" s="14" t="str">
        <f aca="false">IFERROR(IF(F37=0, "", F37), "")</f>
        <v/>
      </c>
    </row>
    <row r="35" customFormat="false" ht="15.75" hidden="false" customHeight="false" outlineLevel="0" collapsed="false">
      <c r="B35" s="28" t="n">
        <f aca="false">B34+1</f>
        <v>46374</v>
      </c>
      <c r="C35" s="29"/>
      <c r="D35" s="14"/>
      <c r="E35" s="14"/>
      <c r="F35" s="14"/>
      <c r="G35" s="14"/>
      <c r="I35" s="30" t="s">
        <v>6</v>
      </c>
      <c r="J35" s="14" t="str">
        <f aca="false">IFERROR(IF(G37=0, "", G37), "")</f>
        <v/>
      </c>
    </row>
    <row r="36" customFormat="false" ht="15.75" hidden="false" customHeight="false" outlineLevel="0" collapsed="false">
      <c r="I36" s="30" t="s">
        <v>33</v>
      </c>
      <c r="J36" s="27" t="n">
        <f aca="false">IF(COUNT(C28:G28)=0, "", (SUM(C31:C35)&gt;=C28)+(SUM(D31:D35)&gt;=D28)+(SUM(E31:E35)&gt;=E28)+(SUM(F31:F35)&gt;=F28)+(SUM(G31:G35)&gt;=G28))</f>
        <v>0</v>
      </c>
    </row>
    <row r="37" customFormat="false" ht="15.75" hidden="false" customHeight="false" outlineLevel="0" collapsed="false">
      <c r="B37" s="5" t="s">
        <v>7</v>
      </c>
      <c r="C37" s="6" t="str">
        <f aca="false">IFERROR(IF(SUM(C31:C35)=0, "", SUM(C31:C35)), "")</f>
        <v/>
      </c>
      <c r="D37" s="7" t="str">
        <f aca="false">IFERROR(IF(SUM(D31:D35)=0, "", SUM(D31:D35)), "")</f>
        <v/>
      </c>
      <c r="E37" s="7" t="str">
        <f aca="false">IFERROR(IF(SUM(E31:E35)=0, "", SUM(E31:E35)), "")</f>
        <v/>
      </c>
      <c r="F37" s="7" t="str">
        <f aca="false">IFERROR(IF(SUM(F31:F35)=0, "", SUM(F31:F35)), "")</f>
        <v/>
      </c>
      <c r="G37" s="7" t="str">
        <f aca="false">IFERROR(IF(SUM(G31:G35)=0, "", SUM(G31:G35)), "")</f>
        <v/>
      </c>
    </row>
    <row r="40" customFormat="false" ht="15.75" hidden="false" customHeight="false" outlineLevel="0" collapsed="false">
      <c r="B40" s="23" t="s">
        <v>29</v>
      </c>
      <c r="C40" s="24" t="n">
        <v>3</v>
      </c>
      <c r="D40" s="24" t="n">
        <v>1</v>
      </c>
      <c r="E40" s="24" t="n">
        <v>1</v>
      </c>
      <c r="F40" s="24" t="n">
        <v>5</v>
      </c>
      <c r="G40" s="24" t="n">
        <v>2</v>
      </c>
    </row>
    <row r="41" customFormat="false" ht="15.75" hidden="false" customHeight="false" outlineLevel="0" collapsed="false">
      <c r="B41" s="23" t="s">
        <v>30</v>
      </c>
      <c r="C41" s="25" t="n">
        <f aca="false">IF(C40="", "", C40-SUM(C43:C47))</f>
        <v>3</v>
      </c>
      <c r="D41" s="25" t="n">
        <f aca="false">IF(D40="", "", D40-SUM(D43:D47))</f>
        <v>1</v>
      </c>
      <c r="E41" s="25" t="n">
        <f aca="false">IF(E40="", "", E40-SUM(E43:E47))</f>
        <v>1</v>
      </c>
      <c r="F41" s="25" t="n">
        <f aca="false">IF(F40="", "", F40-SUM(F43:F47))</f>
        <v>5</v>
      </c>
      <c r="G41" s="25" t="n">
        <f aca="false">IF(G40="", "", G40-SUM(G43:G47))</f>
        <v>2</v>
      </c>
    </row>
    <row r="42" customFormat="false" ht="15.75" hidden="false" customHeight="false" outlineLevel="0" collapsed="false">
      <c r="C42" s="3" t="s">
        <v>2</v>
      </c>
      <c r="D42" s="4" t="s">
        <v>3</v>
      </c>
      <c r="E42" s="4" t="s">
        <v>4</v>
      </c>
      <c r="F42" s="4" t="s">
        <v>5</v>
      </c>
      <c r="G42" s="4" t="s">
        <v>6</v>
      </c>
      <c r="I42" s="8" t="s">
        <v>55</v>
      </c>
      <c r="J42" s="8"/>
    </row>
    <row r="43" customFormat="false" ht="15.75" hidden="false" customHeight="false" outlineLevel="0" collapsed="false">
      <c r="B43" s="28" t="n">
        <v>46377</v>
      </c>
      <c r="C43" s="29"/>
      <c r="D43" s="14"/>
      <c r="E43" s="14"/>
      <c r="F43" s="14"/>
      <c r="G43" s="14"/>
      <c r="I43" s="30" t="s">
        <v>2</v>
      </c>
      <c r="J43" s="29" t="str">
        <f aca="false">IFERROR(IF(C49=0, "", C49), "")</f>
        <v/>
      </c>
    </row>
    <row r="44" customFormat="false" ht="15.75" hidden="false" customHeight="false" outlineLevel="0" collapsed="false">
      <c r="B44" s="31" t="n">
        <f aca="false">B43+1</f>
        <v>46378</v>
      </c>
      <c r="C44" s="32"/>
      <c r="D44" s="18"/>
      <c r="E44" s="18"/>
      <c r="F44" s="18"/>
      <c r="G44" s="18"/>
      <c r="I44" s="30" t="s">
        <v>3</v>
      </c>
      <c r="J44" s="14" t="str">
        <f aca="false">IFERROR(IF(D49=0, "", D49), "")</f>
        <v/>
      </c>
    </row>
    <row r="45" customFormat="false" ht="15.75" hidden="false" customHeight="false" outlineLevel="0" collapsed="false">
      <c r="B45" s="28" t="n">
        <f aca="false">B44+1</f>
        <v>46379</v>
      </c>
      <c r="C45" s="29"/>
      <c r="D45" s="14"/>
      <c r="E45" s="14"/>
      <c r="F45" s="14"/>
      <c r="G45" s="14"/>
      <c r="I45" s="30" t="s">
        <v>4</v>
      </c>
      <c r="J45" s="14" t="str">
        <f aca="false">IFERROR(IF(E49=0, "", E49), "")</f>
        <v/>
      </c>
    </row>
    <row r="46" customFormat="false" ht="15.75" hidden="false" customHeight="false" outlineLevel="0" collapsed="false">
      <c r="B46" s="31" t="n">
        <f aca="false">B45+1</f>
        <v>46380</v>
      </c>
      <c r="C46" s="32"/>
      <c r="D46" s="18"/>
      <c r="E46" s="18"/>
      <c r="F46" s="18"/>
      <c r="G46" s="18"/>
      <c r="I46" s="30" t="s">
        <v>5</v>
      </c>
      <c r="J46" s="14" t="str">
        <f aca="false">IFERROR(IF(F49=0, "", F49), "")</f>
        <v/>
      </c>
    </row>
    <row r="47" customFormat="false" ht="15.75" hidden="false" customHeight="false" outlineLevel="0" collapsed="false">
      <c r="B47" s="28" t="n">
        <f aca="false">B46+1</f>
        <v>46381</v>
      </c>
      <c r="C47" s="29"/>
      <c r="D47" s="14"/>
      <c r="E47" s="14"/>
      <c r="F47" s="14"/>
      <c r="G47" s="14"/>
      <c r="I47" s="30" t="s">
        <v>6</v>
      </c>
      <c r="J47" s="14" t="str">
        <f aca="false">IFERROR(IF(G49=0, "", G49), "")</f>
        <v/>
      </c>
    </row>
    <row r="48" customFormat="false" ht="15.75" hidden="false" customHeight="false" outlineLevel="0" collapsed="false">
      <c r="I48" s="30" t="s">
        <v>33</v>
      </c>
      <c r="J48" s="27" t="n">
        <f aca="false">IF(COUNT(C40:G40)=0, "", (SUM(C43:C47)&gt;=C40)+(SUM(D43:D47)&gt;=D40)+(SUM(E43:E47)&gt;=E40)+(SUM(F43:F47)&gt;=F40)+(SUM(G43:G47)&gt;=G40))</f>
        <v>0</v>
      </c>
    </row>
    <row r="49" customFormat="false" ht="15.75" hidden="false" customHeight="false" outlineLevel="0" collapsed="false">
      <c r="B49" s="5" t="s">
        <v>7</v>
      </c>
      <c r="C49" s="6" t="str">
        <f aca="false">IFERROR(IF(SUM(C43:C47)=0, "", SUM(C43:C47)), "")</f>
        <v/>
      </c>
      <c r="D49" s="7" t="str">
        <f aca="false">IFERROR(IF(SUM(D43:D47)=0, "", SUM(D43:D47)), "")</f>
        <v/>
      </c>
      <c r="E49" s="7" t="str">
        <f aca="false">IFERROR(IF(SUM(E43:E47)=0, "", SUM(E43:E47)), "")</f>
        <v/>
      </c>
      <c r="F49" s="7" t="str">
        <f aca="false">IFERROR(IF(SUM(F43:F47)=0, "", SUM(F43:F47)), "")</f>
        <v/>
      </c>
      <c r="G49" s="7" t="str">
        <f aca="false">IFERROR(IF(SUM(G43:G47)=0, "", SUM(G43:G47)), "")</f>
        <v/>
      </c>
    </row>
    <row r="52" customFormat="false" ht="15.75" hidden="false" customHeight="false" outlineLevel="0" collapsed="false">
      <c r="B52" s="23" t="s">
        <v>29</v>
      </c>
      <c r="C52" s="24" t="n">
        <v>3</v>
      </c>
      <c r="D52" s="24" t="n">
        <v>1</v>
      </c>
      <c r="E52" s="24" t="n">
        <v>1</v>
      </c>
      <c r="F52" s="24" t="n">
        <v>5</v>
      </c>
      <c r="G52" s="24" t="n">
        <v>2</v>
      </c>
    </row>
    <row r="53" customFormat="false" ht="15.75" hidden="false" customHeight="false" outlineLevel="0" collapsed="false">
      <c r="B53" s="23" t="s">
        <v>30</v>
      </c>
      <c r="C53" s="25" t="n">
        <f aca="false">IF(C52="", "", C52-SUM(C55:C59))</f>
        <v>3</v>
      </c>
      <c r="D53" s="25" t="n">
        <f aca="false">IF(D52="", "", D52-SUM(D55:D59))</f>
        <v>1</v>
      </c>
      <c r="E53" s="25" t="n">
        <f aca="false">IF(E52="", "", E52-SUM(E55:E59))</f>
        <v>1</v>
      </c>
      <c r="F53" s="25" t="n">
        <f aca="false">IF(F52="", "", F52-SUM(F55:F59))</f>
        <v>5</v>
      </c>
      <c r="G53" s="25" t="n">
        <f aca="false">IF(G52="", "", G52-SUM(G55:G59))</f>
        <v>2</v>
      </c>
    </row>
    <row r="54" customFormat="false" ht="15.75" hidden="false" customHeight="false" outlineLevel="0" collapsed="false">
      <c r="C54" s="3" t="s">
        <v>2</v>
      </c>
      <c r="D54" s="4" t="s">
        <v>3</v>
      </c>
      <c r="E54" s="4" t="s">
        <v>4</v>
      </c>
      <c r="F54" s="4" t="s">
        <v>5</v>
      </c>
      <c r="G54" s="4" t="s">
        <v>6</v>
      </c>
      <c r="I54" s="8" t="s">
        <v>56</v>
      </c>
      <c r="J54" s="8"/>
    </row>
    <row r="55" customFormat="false" ht="15.75" hidden="false" customHeight="false" outlineLevel="0" collapsed="false">
      <c r="B55" s="28" t="n">
        <v>46384</v>
      </c>
      <c r="C55" s="29"/>
      <c r="D55" s="14"/>
      <c r="E55" s="14"/>
      <c r="F55" s="14"/>
      <c r="G55" s="14"/>
      <c r="I55" s="30" t="s">
        <v>2</v>
      </c>
      <c r="J55" s="29" t="str">
        <f aca="false">IFERROR(IF(C61=0, "", C61), "")</f>
        <v/>
      </c>
    </row>
    <row r="56" customFormat="false" ht="15.75" hidden="false" customHeight="false" outlineLevel="0" collapsed="false">
      <c r="B56" s="31" t="n">
        <f aca="false">B55+1</f>
        <v>46385</v>
      </c>
      <c r="C56" s="32"/>
      <c r="D56" s="18"/>
      <c r="E56" s="18"/>
      <c r="F56" s="18"/>
      <c r="G56" s="18"/>
      <c r="I56" s="30" t="s">
        <v>3</v>
      </c>
      <c r="J56" s="14" t="str">
        <f aca="false">IFERROR(IF(D61=0, "", D61), "")</f>
        <v/>
      </c>
    </row>
    <row r="57" customFormat="false" ht="15.75" hidden="false" customHeight="false" outlineLevel="0" collapsed="false">
      <c r="B57" s="28" t="n">
        <f aca="false">B56+1</f>
        <v>46386</v>
      </c>
      <c r="C57" s="29"/>
      <c r="D57" s="14"/>
      <c r="E57" s="14"/>
      <c r="F57" s="14"/>
      <c r="G57" s="14"/>
      <c r="I57" s="30" t="s">
        <v>4</v>
      </c>
      <c r="J57" s="14" t="str">
        <f aca="false">IFERROR(IF(E61=0, "", E61), "")</f>
        <v/>
      </c>
    </row>
    <row r="58" customFormat="false" ht="15.75" hidden="false" customHeight="false" outlineLevel="0" collapsed="false">
      <c r="B58" s="31" t="n">
        <f aca="false">B57+1</f>
        <v>46387</v>
      </c>
      <c r="C58" s="32"/>
      <c r="D58" s="18"/>
      <c r="E58" s="18"/>
      <c r="F58" s="18"/>
      <c r="G58" s="18"/>
      <c r="I58" s="30" t="s">
        <v>5</v>
      </c>
      <c r="J58" s="14" t="str">
        <f aca="false">IFERROR(IF(F61=0, "", F61), "")</f>
        <v/>
      </c>
    </row>
    <row r="59" customFormat="false" ht="15.75" hidden="false" customHeight="false" outlineLevel="0" collapsed="false">
      <c r="B59" s="28" t="n">
        <f aca="false">B58+1</f>
        <v>46388</v>
      </c>
      <c r="C59" s="29"/>
      <c r="D59" s="14"/>
      <c r="E59" s="14"/>
      <c r="F59" s="14"/>
      <c r="G59" s="14"/>
      <c r="I59" s="30" t="s">
        <v>6</v>
      </c>
      <c r="J59" s="14" t="str">
        <f aca="false">IFERROR(IF(G61=0, "", G61), "")</f>
        <v/>
      </c>
    </row>
    <row r="60" customFormat="false" ht="15.75" hidden="false" customHeight="false" outlineLevel="0" collapsed="false">
      <c r="I60" s="30" t="s">
        <v>33</v>
      </c>
      <c r="J60" s="27" t="n">
        <f aca="false">IF(COUNT(C52:G52)=0, "", (SUM(C55:C59)&gt;=C52)+(SUM(D55:D59)&gt;=D52)+(SUM(E55:E59)&gt;=E52)+(SUM(F55:F59)&gt;=F52)+(SUM(G55:G59)&gt;=G52))</f>
        <v>0</v>
      </c>
    </row>
    <row r="61" customFormat="false" ht="15.75" hidden="false" customHeight="false" outlineLevel="0" collapsed="false">
      <c r="B61" s="5" t="s">
        <v>7</v>
      </c>
      <c r="C61" s="6" t="str">
        <f aca="false">IFERROR(IF(SUM(C55:C59)=0, "", SUM(C55:C59)), "")</f>
        <v/>
      </c>
      <c r="D61" s="7" t="str">
        <f aca="false">IFERROR(IF(SUM(D55:D59)=0, "", SUM(D55:D59)), "")</f>
        <v/>
      </c>
      <c r="E61" s="7" t="str">
        <f aca="false">IFERROR(IF(SUM(E55:E59)=0, "", SUM(E55:E59)), "")</f>
        <v/>
      </c>
      <c r="F61" s="7" t="str">
        <f aca="false">IFERROR(IF(SUM(F55:F59)=0, "", SUM(F55:F59)), "")</f>
        <v/>
      </c>
      <c r="G61" s="7" t="str">
        <f aca="false">IFERROR(IF(SUM(G55:G59)=0, "", SUM(G55:G59)), "")</f>
        <v/>
      </c>
    </row>
  </sheetData>
  <mergeCells count="9">
    <mergeCell ref="B2:C2"/>
    <mergeCell ref="L5:M5"/>
    <mergeCell ref="I6:J6"/>
    <mergeCell ref="L12:M12"/>
    <mergeCell ref="L13:M13"/>
    <mergeCell ref="I18:J18"/>
    <mergeCell ref="I30:J30"/>
    <mergeCell ref="I42:J42"/>
    <mergeCell ref="I54:J54"/>
  </mergeCells>
  <conditionalFormatting sqref="C5 C17 C29 C41 C53 D5 D17 D29 D41 D53 E5 E17 E29 E41 E53 F5 F17 F29 F41 F53 G5 G17 G29 G41 G53">
    <cfRule type="cellIs" priority="2" operator="lessThanOrEqual" aboveAverage="0" equalAverage="0" bottom="0" percent="0" rank="0" text="" dxfId="0">
      <formula>0</formula>
    </cfRule>
  </conditionalFormatting>
  <conditionalFormatting sqref="J12 J24 J36 J48 J60">
    <cfRule type="cellIs" priority="3" operator="greaterThanOrEqual" aboveAverage="0" equalAverage="0" bottom="0" percent="0" rank="0" text="" dxfId="0">
      <formula>5</formula>
    </cfRule>
  </conditionalFormatting>
  <conditionalFormatting sqref="B6:B13 B18:B25 B30:B37 B42:B49 B54:B61">
    <cfRule type="timePeriod" priority="4" timePeriod="today" dxfId="1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2026-08-14T06:21:36Z</dcterms:created>
  <dc:creator>openpyxl</dc:creator>
  <dc:description/>
  <dc:language>en-US</dc:language>
  <cp:lastModifiedBy/>
  <dcterms:modified xsi:type="dcterms:W3CDTF">2026-08-14T06:21:36Z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