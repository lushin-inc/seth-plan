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GROW Plan" sheetId="2" state="visible" r:id="rId4"/>
    <sheet name="All Accounts" sheetId="3" state="visible" r:id="rId5"/>
    <sheet name="SEED Targets" sheetId="4" state="visible" r:id="rId6"/>
  </sheets>
  <definedNames>
    <definedName function="false" hidden="true" localSheetId="2" name="_xlnm._FilterDatabase" vbProcedure="false">'All Accounts'!$A$1:$I$176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<sst xmlns="http://schemas.openxmlformats.org/spreadsheetml/2006/main" count="589" uniqueCount="322">
  <si>
    <t xml:space="preserve">Seth — Account Tiers</t>
  </si>
  <si>
    <t xml:space="preserve">Every account, one of four buckets. Time goes where the bucket says it goes.</t>
  </si>
  <si>
    <t xml:space="preserve">GROW</t>
  </si>
  <si>
    <t xml:space="preserve">8 account families. Proactive time lives here: multi-thread every site, walk floors, stack quotes, ask for sister-site intros. See the GROW Plan tab.</t>
  </si>
  <si>
    <t xml:space="preserve">KEEP</t>
  </si>
  <si>
    <t xml:space="preserve">Active customers and fans outside the eight. Respond fast, quarterly check-in, one referral ask per touch. No proactive project-hunting time.</t>
  </si>
  <si>
    <t xml:space="preserve">SEED</t>
  </si>
  <si>
    <t xml:space="preserve">Named new-logo targets (capped at ~13). Referral-first — work them only through references and intros, not cold lists.</t>
  </si>
  <si>
    <t xml:space="preserve">TAIL</t>
  </si>
  <si>
    <t xml:space="preserve">Everyone else. Mail merge / newsletter only. Permission to ignore until they raise a hand.</t>
  </si>
  <si>
    <t xml:space="preserve">Sources</t>
  </si>
  <si>
    <t xml:space="preserve">YTD dollars and project counts: Seth's 'August 13th YTD Sales Breakdown'. Jan ratings (Current / Potential / Relationship, 1 = best): Seth's account list from earlier this year. Growth notes: Seth's Aug 13 Top 10 Account Plans, his words condensed.</t>
  </si>
  <si>
    <t xml:space="preserve">Edit these</t>
  </si>
  <si>
    <t xml:space="preserve">Tier column on the All Accounts tab (re-bucket anything you disagree with), and the Next Action / People To Add columns on the GROW Plan tab. Everything else is reference data.</t>
  </si>
  <si>
    <t xml:space="preserve">Flags</t>
  </si>
  <si>
    <t xml:space="preserve">Lamb Weston and International Paper contact names came from a ZoomInfo EHS export, not from Seth — verify before using. Evraz North America and Oregon Steel Mills are the same company. PCC Schlosser, Machine Shop, and LSBS1 are rated PCC sites with $0 this year — that's the whitespace, not an error.</t>
  </si>
  <si>
    <t xml:space="preserve">Tier rules</t>
  </si>
  <si>
    <t xml:space="preserve">GROW = the 8 multi-site families. KEEP = billed this year ($2K+ or 3+ orders) or a rated relationship (1-2). SEED = rated top-potential in Jan with $0 this year, plus Jan growth-list holdovers. TAIL = the rest, including one-off part orders under $2K.</t>
  </si>
  <si>
    <t xml:space="preserve">Family</t>
  </si>
  <si>
    <t xml:space="preserve">Account / Site</t>
  </si>
  <si>
    <t xml:space="preserve">YTD Sell</t>
  </si>
  <si>
    <t xml:space="preserve">Projects</t>
  </si>
  <si>
    <t xml:space="preserve">Primary Contact</t>
  </si>
  <si>
    <t xml:space="preserve">Title</t>
  </si>
  <si>
    <t xml:space="preserve">Where Growth Is (Seth's plan)</t>
  </si>
  <si>
    <t xml:space="preserve">Next Action</t>
  </si>
  <si>
    <t xml:space="preserve">People To Add</t>
  </si>
  <si>
    <t xml:space="preserve">CoorsTek</t>
  </si>
  <si>
    <t xml:space="preserve">CoorsTek — Hillsboro</t>
  </si>
  <si>
    <t xml:space="preserve">Rod Smith</t>
  </si>
  <si>
    <t xml:space="preserve">EHS Manager</t>
  </si>
  <si>
    <t xml:space="preserve">Rooftop: railings, larger stair systems. Pedestrian intersections (GOBO projected signage). Machine guarding: hard guards in the machine shop.</t>
  </si>
  <si>
    <t xml:space="preserve">Get with Rod's team and become their #1 resource — stop being routed only through Rod. Move one rooftop / machine-guarding quote forward; Seth's read: if they do one, they'll want everything to match.</t>
  </si>
  <si>
    <t xml:space="preserve">From the 58-name map: Todd Wood (Ops, Hillsboro), Joel Smith (Facilities Maint., Portland), Michael Terrell (Global Dir. Facilities Eng.) — Terrell is the multi-plant door. 12 contacts flagged new-in-role.</t>
  </si>
  <si>
    <t xml:space="preserve">PCC Structurals</t>
  </si>
  <si>
    <t xml:space="preserve">Deer Creek</t>
  </si>
  <si>
    <t xml:space="preserve">Mario Tores</t>
  </si>
  <si>
    <t xml:space="preserve">Fall protection (Kee railing project). More Troax fencing. Fortress interlocks in more places.</t>
  </si>
  <si>
    <t xml:space="preserve">Expand beyond Mario, Brandon, Leo, Robert, Jason. Be on site constantly; point out fixable things. Get on the rooftop.</t>
  </si>
  <si>
    <t xml:space="preserve">Maintenance manager, facilities engineer, plant manager — the seats that fund what EHS flags.</t>
  </si>
  <si>
    <t xml:space="preserve">Titanium Plant</t>
  </si>
  <si>
    <t xml:space="preserve">Chris Baptiste</t>
  </si>
  <si>
    <t xml:space="preserve">Program Manager</t>
  </si>
  <si>
    <t xml:space="preserve">Rooftop fall protection — non-penetrating guardrail + crossovers. Machine guarding: fencing with anti-restart. Pedestrian safety on forklifts and intersections.</t>
  </si>
  <si>
    <t xml:space="preserve">Meet more people there; deepen existing relationships. Fix lead-time issues. Push Proxicam on tough intersections.</t>
  </si>
  <si>
    <t xml:space="preserve">EHS manager, facilities, maintenance — Chris is a program manager; get introduced into the safety office.</t>
  </si>
  <si>
    <t xml:space="preserve">Wax Center</t>
  </si>
  <si>
    <t xml:space="preserve">Todd Washburn</t>
  </si>
  <si>
    <t xml:space="preserve">Sr. Safety / 6S Manager</t>
  </si>
  <si>
    <t xml:space="preserve">Machine guarding for the wax press machines. Holland Vision on all forklifts + finish Proxicam + red/blue lights. More Boplan. Rooftop.</t>
  </si>
  <si>
    <t xml:space="preserve">Make the current press-guarding project succeed, then replicate machine by machine. Scope what happens on the rooftop.</t>
  </si>
  <si>
    <t xml:space="preserve">Maintenance lead, ops manager for press areas.</t>
  </si>
  <si>
    <t xml:space="preserve">SSBO</t>
  </si>
  <si>
    <t xml:space="preserve">James Hubbard / Micah Westlund</t>
  </si>
  <si>
    <t xml:space="preserve">6S Tech / Safety Specialist II</t>
  </si>
  <si>
    <t xml:space="preserve">Everything Deer Creek does can be done here. Real guarding beyond Boplan soft covers. Kee Klamp projects already discussed.</t>
  </si>
  <si>
    <t xml:space="preserve">Build James / Micah to where it was with Jason before he left. Re-push the staircase guardrail that should already be done.</t>
  </si>
  <si>
    <t xml:space="preserve">Whoever replaced Jason's authority — find the budget owner. Facilities + maintenance.</t>
  </si>
  <si>
    <t xml:space="preserve">Steel</t>
  </si>
  <si>
    <t xml:space="preserve">—</t>
  </si>
  <si>
    <t xml:space="preserve">Buying parts + small projects today (LED lighting, KattSafe, Boplan).</t>
  </si>
  <si>
    <t xml:space="preserve">Rated a 'biggest fan' site in Jan. Walk it with a punch list — turn parts orders into projects.</t>
  </si>
  <si>
    <t xml:space="preserve">Site EHS + maintenance manager.</t>
  </si>
  <si>
    <t xml:space="preserve">LSBS2 / LMA / SSB1</t>
  </si>
  <si>
    <t xml:space="preserve">Small orders this year at all three.</t>
  </si>
  <si>
    <t xml:space="preserve">Same playbook: champion referral in, floor walk, punch list.</t>
  </si>
  <si>
    <t xml:space="preserve">Site safety + maintenance seats.</t>
  </si>
  <si>
    <t xml:space="preserve">Schlosser / Machine Shop / LSBS1 (whitespace)</t>
  </si>
  <si>
    <t xml:space="preserve">Rated sites with $0 this year. Schlosser was rated 'biggest fan' + top current spend in Jan — something went quiet.</t>
  </si>
  <si>
    <t xml:space="preserve">Reactivation: ask Deer Creek / SSBO champions who runs safety at each. One referral covers all three.</t>
  </si>
  <si>
    <t xml:space="preserve">Ask Mario / James: 'Who's your counterpart over at Schlosser?'</t>
  </si>
  <si>
    <t xml:space="preserve">ATI Metals</t>
  </si>
  <si>
    <t xml:space="preserve">Heather Rowan</t>
  </si>
  <si>
    <t xml:space="preserve">Material Coordinator</t>
  </si>
  <si>
    <t xml:space="preserve">Major machine-guarding needs, already quoted. Pedestrian safety — fix the crosswalk issue, then spread it across the facility. Get Proxicam in the door.</t>
  </si>
  <si>
    <t xml:space="preserve">Close one quoted guarding project. Keep presenting at their meetings. Seth's own rule: meet people as often as possible — keep it a priority.</t>
  </si>
  <si>
    <t xml:space="preserve">Heather is outside the buying center — get introduced INTO safety: EHS manager, plus maintenance + facilities + ops. ZoomInfo pull still needed (see Contact Maps).</t>
  </si>
  <si>
    <t xml:space="preserve">Lamb Weston</t>
  </si>
  <si>
    <t xml:space="preserve">Boardman</t>
  </si>
  <si>
    <t xml:space="preserve">— (verify)</t>
  </si>
  <si>
    <t xml:space="preserve">$24K GoboSource/Boplan project landed. Tri-Cities cluster (Richland, Pasco) sits an hour up the road, plus corporate EHS.</t>
  </si>
  <si>
    <t xml:space="preserve">Second project at Boardman, then ask your contact for Richland / Pasco intros.</t>
  </si>
  <si>
    <t xml:space="preserve">ZoomInfo (verify): Felix Monroy (Sr. HSE, Boardman), Kathryn Wyatt (EHS Mgr, Richland), Emily Hanson (EHS Mgr, Pasco), Jon McKibben (Sr. Mgr Corporate EHS).</t>
  </si>
  <si>
    <t xml:space="preserve">International Paper</t>
  </si>
  <si>
    <t xml:space="preserve">Salem, OR</t>
  </si>
  <si>
    <t xml:space="preserve">Fortress interlocks order landed. IP runs 190+ locations; an IP EHS manager sits in Beaverton.</t>
  </si>
  <si>
    <t xml:space="preserve">Second project at Salem; then ask for the Beaverton intro.</t>
  </si>
  <si>
    <t xml:space="preserve">ZoomInfo (verify): Jennifer Savage (EHS Mgr, Beaverton OR), Stephanie Fogle (EHS Mgr, OR), Lili Diaz (Moses Lake), Mark Gregory (Seattle), Andrew Lange (Federal Way).</t>
  </si>
  <si>
    <t xml:space="preserve">Columbia Forest Products</t>
  </si>
  <si>
    <t xml:space="preserve">Joseph Bunnell</t>
  </si>
  <si>
    <t xml:space="preserve">Safety Manager</t>
  </si>
  <si>
    <t xml:space="preserve">Boplan everywhere — they already love it. Machine-guard fencing + Fortress trapped-key systems next.</t>
  </si>
  <si>
    <t xml:space="preserve">Get back on site and stack quotes — their quote-to-PO cycle is long, so volume in the pipe is what makes them regular. Use price increases as the reason to move now.</t>
  </si>
  <si>
    <t xml:space="preserve">Plant engineer + maintenance at the local mill; ask Joseph which sister mills share his problems.</t>
  </si>
  <si>
    <t xml:space="preserve">Roseburg Forest Products</t>
  </si>
  <si>
    <t xml:space="preserve">Coquille Plywood (prospect)</t>
  </si>
  <si>
    <t xml:space="preserve">Bill Girard</t>
  </si>
  <si>
    <t xml:space="preserve">Seth's #2 pick: Proxicam fleet outfit, $50K fall-protection project, complex put-off items, Boplan, rooftop.</t>
  </si>
  <si>
    <t xml:space="preserve">Get the Proxicam demo verdict and start quoting. Move the $50K fall-protection project to prove worth. Get Boplan in the door + get on a rooftop.</t>
  </si>
  <si>
    <t xml:space="preserve">Bill first; then maintenance + plant manager once the first project lands.</t>
  </si>
  <si>
    <t xml:space="preserve">Panthalassa</t>
  </si>
  <si>
    <t xml:space="preserve">Bethany Ferguson</t>
  </si>
  <si>
    <t xml:space="preserve">Operations Manager</t>
  </si>
  <si>
    <t xml:space="preserve">SafetyNet (virtual LOTO, risk assessments, JHA). More machine guarding like the first project. Fall protection small and large.</t>
  </si>
  <si>
    <t xml:space="preserve">Send the solutions overview; add them to mail-merge so they see every project type. Follow up on the SafetyNet meeting.</t>
  </si>
  <si>
    <t xml:space="preserve">Second contact in maintenance or engineering — $67K on one thread is fragile.</t>
  </si>
  <si>
    <t xml:space="preserve">GROW total</t>
  </si>
  <si>
    <t xml:space="preserve">Account</t>
  </si>
  <si>
    <t xml:space="preserve">Tier</t>
  </si>
  <si>
    <t xml:space="preserve">YTD Projects</t>
  </si>
  <si>
    <t xml:space="preserve">Jan Current</t>
  </si>
  <si>
    <t xml:space="preserve">Jan Potential</t>
  </si>
  <si>
    <t xml:space="preserve">Jan Relationship</t>
  </si>
  <si>
    <t xml:space="preserve">Note</t>
  </si>
  <si>
    <t xml:space="preserve">PCC Structurals- Deer Creek</t>
  </si>
  <si>
    <t xml:space="preserve">Accounts</t>
  </si>
  <si>
    <t xml:space="preserve">PCC Structurals - Titanium Plant</t>
  </si>
  <si>
    <t xml:space="preserve">Not on the Jan list — new this year.</t>
  </si>
  <si>
    <t xml:space="preserve">$67K on one project, one contact — multi-thread it.</t>
  </si>
  <si>
    <t xml:space="preserve">PCC Structurals - Wax Center</t>
  </si>
  <si>
    <t xml:space="preserve">PCC Structurals - SSBO</t>
  </si>
  <si>
    <t xml:space="preserve">Total</t>
  </si>
  <si>
    <t xml:space="preserve">Lamb Weston - Boardman</t>
  </si>
  <si>
    <t xml:space="preserve">PCC Structurals - Steel</t>
  </si>
  <si>
    <t xml:space="preserve">International Paper - Salem, OR</t>
  </si>
  <si>
    <t xml:space="preserve">PCC Structurals - LSBS2</t>
  </si>
  <si>
    <t xml:space="preserve">PCC Structurals- LMA</t>
  </si>
  <si>
    <t xml:space="preserve">PCC Structurals - SSB1</t>
  </si>
  <si>
    <t xml:space="preserve">PCC Schlosser</t>
  </si>
  <si>
    <t xml:space="preserve">Whitespace: rated 'biggest fan' + top spend in Jan, $0 this year.</t>
  </si>
  <si>
    <t xml:space="preserve">PCC Structurals - LSBS1</t>
  </si>
  <si>
    <t xml:space="preserve">Whitespace: rated top-potential in Jan, $0 this year.</t>
  </si>
  <si>
    <t xml:space="preserve">PCC Structurals- Machine Shop</t>
  </si>
  <si>
    <t xml:space="preserve">Roseburg Forest Products - Coquille Plywood</t>
  </si>
  <si>
    <t xml:space="preserve">From Seth's Aug Top 10 plan (his #2 pick) — not on the Jan list.</t>
  </si>
  <si>
    <t xml:space="preserve">City Of Portiand</t>
  </si>
  <si>
    <t xml:space="preserve">Kevin Warren (Capital PM, Facilities). Serve fast, stay reactive — red tape; expand building-by-building when he opens the door.</t>
  </si>
  <si>
    <t xml:space="preserve">7Robotics</t>
  </si>
  <si>
    <t xml:space="preserve">Interlocks OEM, 10 orders YTD. Keep parts flowing; ask who they build cells for.</t>
  </si>
  <si>
    <t xml:space="preserve">Waste Management</t>
  </si>
  <si>
    <t xml:space="preserve">Spar-Tek Industries Inc.</t>
  </si>
  <si>
    <t xml:space="preserve">GEM Inc.</t>
  </si>
  <si>
    <t xml:space="preserve">Clarios</t>
  </si>
  <si>
    <t xml:space="preserve">Eaton</t>
  </si>
  <si>
    <t xml:space="preserve">Pacific Coast Producers</t>
  </si>
  <si>
    <t xml:space="preserve">CalPortland</t>
  </si>
  <si>
    <t xml:space="preserve">SSI Shredding Systems</t>
  </si>
  <si>
    <t xml:space="preserve">Oregon Steel Mills</t>
  </si>
  <si>
    <t xml:space="preserve">Evraz-owned. 5 small interlock orders — parts buyer today, project account if someone walks the mill.</t>
  </si>
  <si>
    <t xml:space="preserve">Vallen Integrated Supply</t>
  </si>
  <si>
    <t xml:space="preserve">Con-Vey</t>
  </si>
  <si>
    <t xml:space="preserve">Oregon Seafoods</t>
  </si>
  <si>
    <t xml:space="preserve">Arauco</t>
  </si>
  <si>
    <t xml:space="preserve">Freres Wood Products</t>
  </si>
  <si>
    <t xml:space="preserve">Selmet Inc.</t>
  </si>
  <si>
    <t xml:space="preserve">Titanium castings, Albany — same profile as PCC. Upgrade candidate: run the PCC guarding story.</t>
  </si>
  <si>
    <t xml:space="preserve">Oregon Tool Inc</t>
  </si>
  <si>
    <t xml:space="preserve">REFERRAL ASSET — 'biggest fan' in Jan. Small orders YTD. Quarterly referral ask + walk their floor.</t>
  </si>
  <si>
    <t xml:space="preserve">Andrews-Cooper</t>
  </si>
  <si>
    <t xml:space="preserve">Power &amp; Control</t>
  </si>
  <si>
    <t xml:space="preserve">Top Tier Inc.</t>
  </si>
  <si>
    <t xml:space="preserve">Kingsford (Clorox)</t>
  </si>
  <si>
    <t xml:space="preserve">Evraz North America</t>
  </si>
  <si>
    <t xml:space="preserve">Same company as Oregon Steel Mills — see that row.</t>
  </si>
  <si>
    <t xml:space="preserve">Ferguson Valve &amp; Automation</t>
  </si>
  <si>
    <t xml:space="preserve">REFERRAL ASSET — 'biggest fan' in Jan, ~$0 YTD. They see inside every plant they sell into. Quarterly referral ask.</t>
  </si>
  <si>
    <t xml:space="preserve">Pre-Tec</t>
  </si>
  <si>
    <t xml:space="preserve">Rated relationship, no revenue this year — quarterly touch.</t>
  </si>
  <si>
    <t xml:space="preserve">Skookum Inc</t>
  </si>
  <si>
    <t xml:space="preserve">Woodgrain - La Grande</t>
  </si>
  <si>
    <t xml:space="preserve">'Biggest fan' + top spend rating in Jan, $0 this year. Reactivation call — find out what changed.</t>
  </si>
  <si>
    <t xml:space="preserve">Boise Cascade</t>
  </si>
  <si>
    <t xml:space="preserve">From Seth's Jan growth top-10 tab.</t>
  </si>
  <si>
    <t xml:space="preserve">Collins Products</t>
  </si>
  <si>
    <t xml:space="preserve">Rated top-potential (Rel 2) in Jan, $0 this year — referral-first.</t>
  </si>
  <si>
    <t xml:space="preserve">Endura- Prineville</t>
  </si>
  <si>
    <t xml:space="preserve">Kanto</t>
  </si>
  <si>
    <t xml:space="preserve">LAM Research Corporation</t>
  </si>
  <si>
    <t xml:space="preserve">Rated Current-1 / Potential-1 in Jan, $0 this year — reactivate.</t>
  </si>
  <si>
    <t xml:space="preserve">Portland State University</t>
  </si>
  <si>
    <t xml:space="preserve">Campus rooftops/ladders — City of Portland playbook with less red tape.</t>
  </si>
  <si>
    <t xml:space="preserve">RedBuilt</t>
  </si>
  <si>
    <t xml:space="preserve">Rockwell Collins</t>
  </si>
  <si>
    <t xml:space="preserve">Stumptown Coffee</t>
  </si>
  <si>
    <t xml:space="preserve">Terzo Enterprises, Inc.</t>
  </si>
  <si>
    <t xml:space="preserve">Timber Products Company</t>
  </si>
  <si>
    <t xml:space="preserve">Two rated entries, one company — treat as a single target.</t>
  </si>
  <si>
    <t xml:space="preserve">Timber Products- Grants Pass</t>
  </si>
  <si>
    <t xml:space="preserve">Weyerhaeuser- Cottage Grove Lumber</t>
  </si>
  <si>
    <t xml:space="preserve">North Coast</t>
  </si>
  <si>
    <t xml:space="preserve">One-off order — stays on mail merge.</t>
  </si>
  <si>
    <t xml:space="preserve">Taylor Metal Products</t>
  </si>
  <si>
    <t xml:space="preserve">Warn Automotive</t>
  </si>
  <si>
    <t xml:space="preserve">Bob's Red Mill Natural Foods</t>
  </si>
  <si>
    <t xml:space="preserve">Georgia Pacific - Wauna</t>
  </si>
  <si>
    <t xml:space="preserve">Samtec</t>
  </si>
  <si>
    <t xml:space="preserve">Concept Systems</t>
  </si>
  <si>
    <t xml:space="preserve">Nike</t>
  </si>
  <si>
    <t xml:space="preserve">Consolidated Metco</t>
  </si>
  <si>
    <t xml:space="preserve">Vision Plastics</t>
  </si>
  <si>
    <t xml:space="preserve">Kohler Design</t>
  </si>
  <si>
    <t xml:space="preserve">A-DEC</t>
  </si>
  <si>
    <t xml:space="preserve">ABM Equipment Company , Inc.</t>
  </si>
  <si>
    <t xml:space="preserve">Advanced Technology Group, Inc.</t>
  </si>
  <si>
    <t xml:space="preserve">Aero Precision</t>
  </si>
  <si>
    <t xml:space="preserve">AeroGo, Inc.</t>
  </si>
  <si>
    <t xml:space="preserve">AkzoNobel</t>
  </si>
  <si>
    <t xml:space="preserve">Alliance Machine Systems International LLC</t>
  </si>
  <si>
    <t xml:space="preserve">Anderson Hay &amp; Grain Co Inc</t>
  </si>
  <si>
    <t xml:space="preserve">Apollo Inc</t>
  </si>
  <si>
    <t xml:space="preserve">ASC Machine Tools, Inc</t>
  </si>
  <si>
    <t xml:space="preserve">Ascent Aerospace</t>
  </si>
  <si>
    <t xml:space="preserve">ATS Automation, Inc</t>
  </si>
  <si>
    <t xml:space="preserve">Bornstein Seafoods - Bellingham</t>
  </si>
  <si>
    <t xml:space="preserve">Bradken</t>
  </si>
  <si>
    <t xml:space="preserve">Braun Northwest, Inc.</t>
  </si>
  <si>
    <t xml:space="preserve">Bridgestone-Firestone</t>
  </si>
  <si>
    <t xml:space="preserve">Bulk Handling Systems</t>
  </si>
  <si>
    <t xml:space="preserve">Burton Construction Inc</t>
  </si>
  <si>
    <t xml:space="preserve">Carsoe</t>
  </si>
  <si>
    <t xml:space="preserve">Cayuse Vineyards</t>
  </si>
  <si>
    <t xml:space="preserve">Certainteed Saint Gobain</t>
  </si>
  <si>
    <t xml:space="preserve">City of Auburn</t>
  </si>
  <si>
    <t xml:space="preserve">City of Bellingham</t>
  </si>
  <si>
    <t xml:space="preserve">City of Everett</t>
  </si>
  <si>
    <t xml:space="preserve">City of Vancouver</t>
  </si>
  <si>
    <t xml:space="preserve">City Of Washougal</t>
  </si>
  <si>
    <t xml:space="preserve">ClaroWorks Product Development</t>
  </si>
  <si>
    <t xml:space="preserve">Columbia Valley Family Farms</t>
  </si>
  <si>
    <t xml:space="preserve">Community Transit</t>
  </si>
  <si>
    <t xml:space="preserve">Concurrent Technologies Corporation</t>
  </si>
  <si>
    <t xml:space="preserve">ConMet</t>
  </si>
  <si>
    <t xml:space="preserve">Cowlitz PUD</t>
  </si>
  <si>
    <t xml:space="preserve">Danner Boots</t>
  </si>
  <si>
    <t xml:space="preserve">Dauenhauer Manufacturing</t>
  </si>
  <si>
    <t xml:space="preserve">Duck Delivery Produce, Inc</t>
  </si>
  <si>
    <t xml:space="preserve">Eagle Harbor Technologies, Inc.</t>
  </si>
  <si>
    <t xml:space="preserve">EGT, LLC</t>
  </si>
  <si>
    <t xml:space="preserve">Elpac Inc.</t>
  </si>
  <si>
    <t xml:space="preserve">Emerald City Graphics</t>
  </si>
  <si>
    <t xml:space="preserve">F5 Networks</t>
  </si>
  <si>
    <t xml:space="preserve">Fiserv Inc</t>
  </si>
  <si>
    <t xml:space="preserve">Fluke Corp</t>
  </si>
  <si>
    <t xml:space="preserve">Frontier Door &amp; Cabinet LLC</t>
  </si>
  <si>
    <t xml:space="preserve">Global Fiberglass Solutions</t>
  </si>
  <si>
    <t xml:space="preserve">Hearthside Food Solutions</t>
  </si>
  <si>
    <t xml:space="preserve">Highline Warren</t>
  </si>
  <si>
    <t xml:space="preserve">Hiline Engineering &amp; Fabrication, Inc.</t>
  </si>
  <si>
    <t xml:space="preserve">Hoffman Design Works, LLC</t>
  </si>
  <si>
    <t xml:space="preserve">Hytek Finishes Inc.</t>
  </si>
  <si>
    <t xml:space="preserve">Innotech</t>
  </si>
  <si>
    <t xml:space="preserve">Intech Enterprises</t>
  </si>
  <si>
    <t xml:space="preserve">Itron Inc</t>
  </si>
  <si>
    <t xml:space="preserve">KASO Plastics</t>
  </si>
  <si>
    <t xml:space="preserve">Key Tronic Corp</t>
  </si>
  <si>
    <t xml:space="preserve">King County Solid Waste</t>
  </si>
  <si>
    <t xml:space="preserve">Kwik Lok Corp</t>
  </si>
  <si>
    <t xml:space="preserve">Lektro- JBT</t>
  </si>
  <si>
    <t xml:space="preserve">Leviton</t>
  </si>
  <si>
    <t xml:space="preserve">Lifeport</t>
  </si>
  <si>
    <t xml:space="preserve">LifeSpan BioSciences , Inc.</t>
  </si>
  <si>
    <t xml:space="preserve">Louis Dreyfus Company</t>
  </si>
  <si>
    <t xml:space="preserve">MARQ Packaging Systems Inc</t>
  </si>
  <si>
    <t xml:space="preserve">Marvin Wood Products</t>
  </si>
  <si>
    <t xml:space="preserve">McKinstry Company</t>
  </si>
  <si>
    <t xml:space="preserve">Neil Jones Food Co.</t>
  </si>
  <si>
    <t xml:space="preserve">Northwest Auto Recyclers Inc</t>
  </si>
  <si>
    <t xml:space="preserve">OMAX Corporation</t>
  </si>
  <si>
    <t xml:space="preserve">Oregon State University</t>
  </si>
  <si>
    <t xml:space="preserve">Pace International LLC</t>
  </si>
  <si>
    <t xml:space="preserve">Pacific Foods</t>
  </si>
  <si>
    <t xml:space="preserve">Pacific Foundation</t>
  </si>
  <si>
    <t xml:space="preserve">Pacific Woodtech Corp</t>
  </si>
  <si>
    <t xml:space="preserve">Pasco Machine</t>
  </si>
  <si>
    <t xml:space="preserve">Plasti-Fab, Inc.</t>
  </si>
  <si>
    <t xml:space="preserve">PLATINUM INDUSTRIAL INC</t>
  </si>
  <si>
    <t xml:space="preserve">Portland SSC, FAA</t>
  </si>
  <si>
    <t xml:space="preserve">Precor Incorporated</t>
  </si>
  <si>
    <t xml:space="preserve">Rainier Industries Ltd</t>
  </si>
  <si>
    <t xml:space="preserve">Revalesio Corporation</t>
  </si>
  <si>
    <t xml:space="preserve">ROMAC INDUSTRIES INC</t>
  </si>
  <si>
    <t xml:space="preserve">Rubber &amp; Plastics Inc. (RPI)</t>
  </si>
  <si>
    <t xml:space="preserve">Schurman Machine, Inc.</t>
  </si>
  <si>
    <t xml:space="preserve">Seattle Chocolates</t>
  </si>
  <si>
    <t xml:space="preserve">Seattle City Light</t>
  </si>
  <si>
    <t xml:space="preserve">Sigma Design, Product Design and Engineering</t>
  </si>
  <si>
    <t xml:space="preserve">Sisters School District</t>
  </si>
  <si>
    <t xml:space="preserve">Sound Transit</t>
  </si>
  <si>
    <t xml:space="preserve">Stabbert Engineering LLC</t>
  </si>
  <si>
    <t xml:space="preserve">Sunlight Supply, Inc.</t>
  </si>
  <si>
    <t xml:space="preserve">Tacoma Glass Manufacturing</t>
  </si>
  <si>
    <t xml:space="preserve">Taylor Shellfish Farms</t>
  </si>
  <si>
    <t xml:space="preserve">Telemark Cryogenics</t>
  </si>
  <si>
    <t xml:space="preserve">Thompson Metal Fab</t>
  </si>
  <si>
    <t xml:space="preserve">TigerStop LLC</t>
  </si>
  <si>
    <t xml:space="preserve">TNT Fireworks Ltd</t>
  </si>
  <si>
    <t xml:space="preserve">Tosoh Quartz Inc.</t>
  </si>
  <si>
    <t xml:space="preserve">Trident Seafoods Corporation</t>
  </si>
  <si>
    <t xml:space="preserve">UniSea , Inc.</t>
  </si>
  <si>
    <t xml:space="preserve">USG- Rainier</t>
  </si>
  <si>
    <t xml:space="preserve">Vehicle Monitor Corporation</t>
  </si>
  <si>
    <t xml:space="preserve">Vigilant</t>
  </si>
  <si>
    <t xml:space="preserve">Washington Department Of Veteran’s Affairs</t>
  </si>
  <si>
    <t xml:space="preserve">Washington Rock Quarries Inc.</t>
  </si>
  <si>
    <t xml:space="preserve">Wilcox Farms</t>
  </si>
  <si>
    <t xml:space="preserve">Wiserg</t>
  </si>
  <si>
    <t xml:space="preserve">Woodtone</t>
  </si>
  <si>
    <t xml:space="preserve">Target</t>
  </si>
  <si>
    <t xml:space="preserve">Why / Referral Path</t>
  </si>
  <si>
    <t xml:space="preserve">Rated top-potential in Jan (knows Seth). Wood products — same hazards Columbia Forest is fixing. Lead with the CFP Boplan story.</t>
  </si>
  <si>
    <t xml:space="preserve">Rated Current-1 / Potential-1 in Jan, $0 this year. Semiconductor, Tualatin. Reactivate the prior contact before anything cold.</t>
  </si>
  <si>
    <t xml:space="preserve">On the Jan growth top-10. Aerospace mfg (Wilsonville) — same buyer seats as PCC. Lead with the PCC guarding story.</t>
  </si>
  <si>
    <t xml:space="preserve">On the Jan growth top-10; two rated entries, one company (Springfield + Grants Pass). Wood-products references: CFP, Freres.</t>
  </si>
  <si>
    <t xml:space="preserve">Same company as Timber Products — treat as one target.</t>
  </si>
  <si>
    <t xml:space="preserve">Rated top-potential in Jan. Wood products, Klamath Falls. Pair with the CFP story.</t>
  </si>
  <si>
    <t xml:space="preserve">Rated top-potential in Jan (knows Seth). Millwork mfg. Reactivate.</t>
  </si>
  <si>
    <t xml:space="preserve">Rated top-potential in Jan (knows Seth). Portland chemicals — pedestrian + guarding fit. Reactivate.</t>
  </si>
  <si>
    <t xml:space="preserve">Rated top-potential in Jan (knows Seth). Production + forklift traffic. Reactivate.</t>
  </si>
  <si>
    <t xml:space="preserve">Rated top-potential in Jan (knows Seth). Reactivate.</t>
  </si>
  <si>
    <t xml:space="preserve">Rated top-potential in Jan. Engineered wood. Wood-products references.</t>
  </si>
  <si>
    <t xml:space="preserve">On the Jan growth top-10. Wood products, multi-site — a future family if it lands.</t>
  </si>
  <si>
    <t xml:space="preserve">Rated top-potential in Jan. Campus rooftops, ladders, platforms — the City of Portland playbook with less red tape.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</si>
</sst>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General"/>
    <numFmt numFmtId="167" formatCode="\$#,##0;&quot;($&quot;#,##0\);\-"/>
    <numFmt numFmtId="168" formatCode="0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1245C"/>
      <name val="Poppins"/>
      <family val="0"/>
      <charset val="1"/>
    </font>
    <font>
      <sz val="10"/>
      <color rgb="FF666666"/>
      <name val="Poppins"/>
      <family val="0"/>
      <charset val="1"/>
    </font>
    <font>
      <b val="true"/>
      <sz val="10"/>
      <color rgb="FFFFFFFF"/>
      <name val="Poppins"/>
      <family val="0"/>
      <charset val="1"/>
    </font>
    <font>
      <sz val="10"/>
      <color rgb="FF333333"/>
      <name val="Poppins"/>
      <family val="0"/>
      <charset val="1"/>
    </font>
    <font>
      <b val="true"/>
      <sz val="10"/>
      <color rgb="FF21245C"/>
      <name val="Poppins"/>
      <family val="0"/>
      <charset val="1"/>
    </font>
    <font>
      <sz val="10"/>
      <color rgb="FFFFFFFF"/>
      <name val="Poppins"/>
      <family val="0"/>
      <charset val="1"/>
    </font>
    <font>
      <b val="true"/>
      <sz val="10"/>
      <color rgb="FF333333"/>
      <name val="Poppi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ADED"/>
        <bgColor rgb="FF33CCCC"/>
      </patternFill>
    </fill>
    <fill>
      <patternFill patternType="solid">
        <fgColor rgb="FF0045C2"/>
        <bgColor rgb="FF333399"/>
      </patternFill>
    </fill>
    <fill>
      <patternFill patternType="solid">
        <fgColor rgb="FFF05A28"/>
        <bgColor rgb="FFFF8080"/>
      </patternFill>
    </fill>
    <fill>
      <patternFill patternType="solid">
        <fgColor rgb="FF9A9AA5"/>
        <bgColor rgb="FF808080"/>
      </patternFill>
    </fill>
    <fill>
      <patternFill patternType="solid">
        <fgColor rgb="FF21245C"/>
        <bgColor rgb="FF333333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1245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45C2"/>
          <bgColor rgb="FF000000"/>
        </patternFill>
      </fill>
    </dxf>
    <dxf>
      <fill>
        <patternFill patternType="solid">
          <fgColor rgb="FF00ADED"/>
          <bgColor rgb="FF000000"/>
        </patternFill>
      </fill>
    </dxf>
    <dxf>
      <fill>
        <patternFill patternType="solid">
          <fgColor rgb="FF9A9AA5"/>
          <bgColor rgb="FF000000"/>
        </patternFill>
      </fill>
    </dxf>
    <dxf>
      <fill>
        <patternFill patternType="solid">
          <fgColor rgb="FFF05A2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DEDED"/>
      <rgbColor rgb="FFCCFFFF"/>
      <rgbColor rgb="FF660066"/>
      <rgbColor rgb="FFFF8080"/>
      <rgbColor rgb="FF0045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DED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05A28"/>
      <rgbColor rgb="FF666666"/>
      <rgbColor rgb="FF9A9AA5"/>
      <rgbColor rgb="FF2124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0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4" t="s">
        <v>3</v>
      </c>
    </row>
    <row r="6" customFormat="false" ht="30" hidden="false" customHeight="true" outlineLevel="0" collapsed="false">
      <c r="B6" s="5" t="s">
        <v>4</v>
      </c>
      <c r="C6" s="4" t="s">
        <v>5</v>
      </c>
    </row>
    <row r="7" customFormat="false" ht="30" hidden="false" customHeight="true" outlineLevel="0" collapsed="false">
      <c r="B7" s="6" t="s">
        <v>6</v>
      </c>
      <c r="C7" s="4" t="s">
        <v>7</v>
      </c>
    </row>
    <row r="8" customFormat="false" ht="30" hidden="false" customHeight="true" outlineLevel="0" collapsed="false">
      <c r="B8" s="7" t="s">
        <v>8</v>
      </c>
      <c r="C8" s="4" t="s">
        <v>9</v>
      </c>
    </row>
    <row r="10" customFormat="false" ht="42" hidden="false" customHeight="true" outlineLevel="0" collapsed="false">
      <c r="B10" s="8" t="s">
        <v>10</v>
      </c>
      <c r="C10" s="9" t="s">
        <v>11</v>
      </c>
    </row>
    <row r="11" customFormat="false" ht="42" hidden="false" customHeight="true" outlineLevel="0" collapsed="false">
      <c r="B11" s="8" t="s">
        <v>12</v>
      </c>
      <c r="C11" s="9" t="s">
        <v>13</v>
      </c>
    </row>
    <row r="12" customFormat="false" ht="42" hidden="false" customHeight="true" outlineLevel="0" collapsed="false">
      <c r="B12" s="8" t="s">
        <v>14</v>
      </c>
      <c r="C12" s="9" t="s">
        <v>15</v>
      </c>
    </row>
    <row r="13" customFormat="false" ht="42" hidden="false" customHeight="true" outlineLevel="0" collapsed="false">
      <c r="B13" s="8" t="s">
        <v>16</v>
      </c>
      <c r="C13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8" min="7" style="0" width="44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0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</row>
    <row r="2" customFormat="false" ht="86.55" hidden="false" customHeight="false" outlineLevel="0" collapsed="false">
      <c r="A2" s="11" t="s">
        <v>27</v>
      </c>
      <c r="B2" s="11" t="s">
        <v>28</v>
      </c>
      <c r="C2" s="12" t="n">
        <v>82694.5</v>
      </c>
      <c r="D2" s="13" t="n">
        <v>9</v>
      </c>
      <c r="E2" s="14" t="s">
        <v>29</v>
      </c>
      <c r="F2" s="14" t="s">
        <v>30</v>
      </c>
      <c r="G2" s="14" t="s">
        <v>31</v>
      </c>
      <c r="H2" s="14" t="s">
        <v>32</v>
      </c>
      <c r="I2" s="14" t="s">
        <v>33</v>
      </c>
    </row>
    <row r="3" customFormat="false" ht="44" hidden="false" customHeight="false" outlineLevel="0" collapsed="false">
      <c r="A3" s="15" t="s">
        <v>34</v>
      </c>
      <c r="B3" s="15" t="s">
        <v>35</v>
      </c>
      <c r="C3" s="16" t="n">
        <v>104411.5</v>
      </c>
      <c r="D3" s="17" t="n">
        <v>20</v>
      </c>
      <c r="E3" s="18" t="s">
        <v>36</v>
      </c>
      <c r="F3" s="18" t="s">
        <v>30</v>
      </c>
      <c r="G3" s="18" t="s">
        <v>37</v>
      </c>
      <c r="H3" s="18" t="s">
        <v>38</v>
      </c>
      <c r="I3" s="18" t="s">
        <v>39</v>
      </c>
    </row>
    <row r="4" customFormat="false" ht="58.2" hidden="false" customHeight="false" outlineLevel="0" collapsed="false">
      <c r="A4" s="11" t="s">
        <v>34</v>
      </c>
      <c r="B4" s="11" t="s">
        <v>40</v>
      </c>
      <c r="C4" s="12" t="n">
        <v>100480</v>
      </c>
      <c r="D4" s="13" t="n">
        <v>9</v>
      </c>
      <c r="E4" s="14" t="s">
        <v>41</v>
      </c>
      <c r="F4" s="14" t="s">
        <v>42</v>
      </c>
      <c r="G4" s="14" t="s">
        <v>43</v>
      </c>
      <c r="H4" s="14" t="s">
        <v>44</v>
      </c>
      <c r="I4" s="14" t="s">
        <v>45</v>
      </c>
    </row>
    <row r="5" customFormat="false" ht="44" hidden="false" customHeight="false" outlineLevel="0" collapsed="false">
      <c r="A5" s="15" t="s">
        <v>34</v>
      </c>
      <c r="B5" s="15" t="s">
        <v>46</v>
      </c>
      <c r="C5" s="16" t="n">
        <v>54365</v>
      </c>
      <c r="D5" s="17" t="n">
        <v>12</v>
      </c>
      <c r="E5" s="18" t="s">
        <v>47</v>
      </c>
      <c r="F5" s="18" t="s">
        <v>48</v>
      </c>
      <c r="G5" s="18" t="s">
        <v>49</v>
      </c>
      <c r="H5" s="18" t="s">
        <v>50</v>
      </c>
      <c r="I5" s="18" t="s">
        <v>51</v>
      </c>
    </row>
    <row r="6" customFormat="false" ht="44" hidden="false" customHeight="false" outlineLevel="0" collapsed="false">
      <c r="A6" s="11" t="s">
        <v>34</v>
      </c>
      <c r="B6" s="11" t="s">
        <v>52</v>
      </c>
      <c r="C6" s="12" t="n">
        <v>37400</v>
      </c>
      <c r="D6" s="13" t="n">
        <v>13</v>
      </c>
      <c r="E6" s="14" t="s">
        <v>53</v>
      </c>
      <c r="F6" s="14" t="s">
        <v>54</v>
      </c>
      <c r="G6" s="14" t="s">
        <v>55</v>
      </c>
      <c r="H6" s="14" t="s">
        <v>56</v>
      </c>
      <c r="I6" s="14" t="s">
        <v>57</v>
      </c>
    </row>
    <row r="7" customFormat="false" ht="29.85" hidden="false" customHeight="false" outlineLevel="0" collapsed="false">
      <c r="A7" s="15" t="s">
        <v>34</v>
      </c>
      <c r="B7" s="15" t="s">
        <v>58</v>
      </c>
      <c r="C7" s="16" t="n">
        <v>20857</v>
      </c>
      <c r="D7" s="17" t="n">
        <v>4</v>
      </c>
      <c r="E7" s="18" t="s">
        <v>59</v>
      </c>
      <c r="F7" s="18"/>
      <c r="G7" s="18" t="s">
        <v>60</v>
      </c>
      <c r="H7" s="18" t="s">
        <v>61</v>
      </c>
      <c r="I7" s="18" t="s">
        <v>62</v>
      </c>
    </row>
    <row r="8" customFormat="false" ht="29.85" hidden="false" customHeight="false" outlineLevel="0" collapsed="false">
      <c r="A8" s="11" t="s">
        <v>34</v>
      </c>
      <c r="B8" s="11" t="s">
        <v>63</v>
      </c>
      <c r="C8" s="12" t="n">
        <v>13462</v>
      </c>
      <c r="D8" s="13" t="n">
        <v>4</v>
      </c>
      <c r="E8" s="14" t="s">
        <v>59</v>
      </c>
      <c r="F8" s="14"/>
      <c r="G8" s="14" t="s">
        <v>64</v>
      </c>
      <c r="H8" s="14" t="s">
        <v>65</v>
      </c>
      <c r="I8" s="14" t="s">
        <v>66</v>
      </c>
    </row>
    <row r="9" customFormat="false" ht="44" hidden="false" customHeight="false" outlineLevel="0" collapsed="false">
      <c r="A9" s="15" t="s">
        <v>34</v>
      </c>
      <c r="B9" s="15" t="s">
        <v>67</v>
      </c>
      <c r="C9" s="16" t="n">
        <v>0</v>
      </c>
      <c r="D9" s="17" t="n">
        <v>0</v>
      </c>
      <c r="E9" s="18" t="s">
        <v>59</v>
      </c>
      <c r="F9" s="18"/>
      <c r="G9" s="18" t="s">
        <v>68</v>
      </c>
      <c r="H9" s="18" t="s">
        <v>69</v>
      </c>
      <c r="I9" s="18" t="s">
        <v>70</v>
      </c>
    </row>
    <row r="10" customFormat="false" ht="72.35" hidden="false" customHeight="false" outlineLevel="0" collapsed="false">
      <c r="A10" s="11" t="s">
        <v>71</v>
      </c>
      <c r="B10" s="11" t="s">
        <v>71</v>
      </c>
      <c r="C10" s="12" t="n">
        <v>29686</v>
      </c>
      <c r="D10" s="13" t="n">
        <v>2</v>
      </c>
      <c r="E10" s="14" t="s">
        <v>72</v>
      </c>
      <c r="F10" s="14" t="s">
        <v>73</v>
      </c>
      <c r="G10" s="14" t="s">
        <v>74</v>
      </c>
      <c r="H10" s="14" t="s">
        <v>75</v>
      </c>
      <c r="I10" s="14" t="s">
        <v>76</v>
      </c>
    </row>
    <row r="11" customFormat="false" ht="72.35" hidden="false" customHeight="false" outlineLevel="0" collapsed="false">
      <c r="A11" s="15" t="s">
        <v>77</v>
      </c>
      <c r="B11" s="15" t="s">
        <v>78</v>
      </c>
      <c r="C11" s="16" t="n">
        <v>23713</v>
      </c>
      <c r="D11" s="17" t="n">
        <v>1</v>
      </c>
      <c r="E11" s="18" t="s">
        <v>79</v>
      </c>
      <c r="F11" s="18"/>
      <c r="G11" s="18" t="s">
        <v>80</v>
      </c>
      <c r="H11" s="18" t="s">
        <v>81</v>
      </c>
      <c r="I11" s="18" t="s">
        <v>82</v>
      </c>
    </row>
    <row r="12" customFormat="false" ht="72.35" hidden="false" customHeight="false" outlineLevel="0" collapsed="false">
      <c r="A12" s="11" t="s">
        <v>83</v>
      </c>
      <c r="B12" s="11" t="s">
        <v>84</v>
      </c>
      <c r="C12" s="12" t="n">
        <v>13882</v>
      </c>
      <c r="D12" s="13" t="n">
        <v>1</v>
      </c>
      <c r="E12" s="14" t="s">
        <v>79</v>
      </c>
      <c r="F12" s="14"/>
      <c r="G12" s="14" t="s">
        <v>85</v>
      </c>
      <c r="H12" s="14" t="s">
        <v>86</v>
      </c>
      <c r="I12" s="14" t="s">
        <v>87</v>
      </c>
    </row>
    <row r="13" customFormat="false" ht="58.2" hidden="false" customHeight="false" outlineLevel="0" collapsed="false">
      <c r="A13" s="15" t="s">
        <v>88</v>
      </c>
      <c r="B13" s="15" t="s">
        <v>88</v>
      </c>
      <c r="C13" s="16" t="n">
        <v>27414</v>
      </c>
      <c r="D13" s="17" t="n">
        <v>1</v>
      </c>
      <c r="E13" s="18" t="s">
        <v>89</v>
      </c>
      <c r="F13" s="18" t="s">
        <v>90</v>
      </c>
      <c r="G13" s="18" t="s">
        <v>91</v>
      </c>
      <c r="H13" s="18" t="s">
        <v>92</v>
      </c>
      <c r="I13" s="18" t="s">
        <v>93</v>
      </c>
    </row>
    <row r="14" customFormat="false" ht="58.2" hidden="false" customHeight="false" outlineLevel="0" collapsed="false">
      <c r="A14" s="11" t="s">
        <v>94</v>
      </c>
      <c r="B14" s="11" t="s">
        <v>95</v>
      </c>
      <c r="C14" s="12" t="n">
        <v>0</v>
      </c>
      <c r="D14" s="13" t="n">
        <v>0</v>
      </c>
      <c r="E14" s="14" t="s">
        <v>96</v>
      </c>
      <c r="F14" s="14" t="s">
        <v>90</v>
      </c>
      <c r="G14" s="14" t="s">
        <v>97</v>
      </c>
      <c r="H14" s="14" t="s">
        <v>98</v>
      </c>
      <c r="I14" s="14" t="s">
        <v>99</v>
      </c>
    </row>
    <row r="15" customFormat="false" ht="44" hidden="false" customHeight="false" outlineLevel="0" collapsed="false">
      <c r="A15" s="15" t="s">
        <v>100</v>
      </c>
      <c r="B15" s="15" t="s">
        <v>100</v>
      </c>
      <c r="C15" s="16" t="n">
        <v>67007</v>
      </c>
      <c r="D15" s="17" t="n">
        <v>1</v>
      </c>
      <c r="E15" s="18" t="s">
        <v>101</v>
      </c>
      <c r="F15" s="18" t="s">
        <v>102</v>
      </c>
      <c r="G15" s="18" t="s">
        <v>103</v>
      </c>
      <c r="H15" s="18" t="s">
        <v>104</v>
      </c>
      <c r="I15" s="18" t="s">
        <v>105</v>
      </c>
    </row>
    <row r="16" customFormat="false" ht="15" hidden="false" customHeight="false" outlineLevel="0" collapsed="false">
      <c r="B16" s="11" t="s">
        <v>106</v>
      </c>
      <c r="C16" s="19" t="n">
        <f aca="false">SUM(C2:C15)</f>
        <v>575372</v>
      </c>
      <c r="D16" s="20" t="n">
        <f aca="false">SUM(D2:D15)</f>
        <v>77</v>
      </c>
      <c r="G16" s="21" t="str">
        <f aca="false">"= "&amp;TEXT(C16/760285,"0%")&amp;" of YTD revenue"</f>
        <v>= 76% of YTD revenue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9" min="9" style="0" width="46"/>
    <col collapsed="false" customWidth="true" hidden="false" outlineLevel="0" max="12" min="11" style="0" width="10"/>
    <col collapsed="false" customWidth="true" hidden="false" outlineLevel="0" max="13" min="13" style="0" width="13"/>
  </cols>
  <sheetData>
    <row r="1" customFormat="false" ht="44" hidden="false" customHeight="false" outlineLevel="0" collapsed="false">
      <c r="A1" s="10" t="s">
        <v>107</v>
      </c>
      <c r="B1" s="10" t="s">
        <v>108</v>
      </c>
      <c r="C1" s="10" t="s">
        <v>18</v>
      </c>
      <c r="D1" s="10" t="s">
        <v>20</v>
      </c>
      <c r="E1" s="10" t="s">
        <v>109</v>
      </c>
      <c r="F1" s="10" t="s">
        <v>110</v>
      </c>
      <c r="G1" s="10" t="s">
        <v>111</v>
      </c>
      <c r="H1" s="10" t="s">
        <v>112</v>
      </c>
      <c r="I1" s="10" t="s">
        <v>113</v>
      </c>
    </row>
    <row r="2" customFormat="false" ht="15" hidden="false" customHeight="false" outlineLevel="0" collapsed="false">
      <c r="A2" s="20" t="s">
        <v>114</v>
      </c>
      <c r="B2" s="22" t="s">
        <v>2</v>
      </c>
      <c r="C2" s="13" t="s">
        <v>34</v>
      </c>
      <c r="D2" s="23" t="n">
        <v>104411.5</v>
      </c>
      <c r="E2" s="24" t="n">
        <v>20</v>
      </c>
      <c r="F2" s="13" t="n">
        <v>1</v>
      </c>
      <c r="G2" s="13" t="n">
        <v>1</v>
      </c>
      <c r="H2" s="13" t="n">
        <v>1</v>
      </c>
      <c r="I2" s="14"/>
      <c r="K2" s="25" t="s">
        <v>108</v>
      </c>
      <c r="L2" s="25" t="s">
        <v>115</v>
      </c>
      <c r="M2" s="25" t="s">
        <v>20</v>
      </c>
    </row>
    <row r="3" customFormat="false" ht="15" hidden="false" customHeight="false" outlineLevel="0" collapsed="false">
      <c r="A3" s="26" t="s">
        <v>116</v>
      </c>
      <c r="B3" s="22" t="s">
        <v>2</v>
      </c>
      <c r="C3" s="17" t="s">
        <v>34</v>
      </c>
      <c r="D3" s="27" t="n">
        <v>100480</v>
      </c>
      <c r="E3" s="28" t="n">
        <v>9</v>
      </c>
      <c r="F3" s="17"/>
      <c r="G3" s="17"/>
      <c r="H3" s="17"/>
      <c r="I3" s="18" t="s">
        <v>117</v>
      </c>
      <c r="K3" s="29" t="s">
        <v>2</v>
      </c>
      <c r="L3" s="13" t="n">
        <f aca="false">COUNTIF($B$2:$B$176,"GROW")</f>
        <v>18</v>
      </c>
      <c r="M3" s="12" t="n">
        <f aca="false">SUMIF($B$2:$B$176,"GROW",$D$2:$D$176)</f>
        <v>575372</v>
      </c>
    </row>
    <row r="4" customFormat="false" ht="15" hidden="false" customHeight="false" outlineLevel="0" collapsed="false">
      <c r="A4" s="20" t="s">
        <v>27</v>
      </c>
      <c r="B4" s="22" t="s">
        <v>2</v>
      </c>
      <c r="C4" s="13" t="s">
        <v>27</v>
      </c>
      <c r="D4" s="23" t="n">
        <v>82694.5</v>
      </c>
      <c r="E4" s="24" t="n">
        <v>9</v>
      </c>
      <c r="F4" s="13"/>
      <c r="G4" s="13"/>
      <c r="H4" s="13"/>
      <c r="I4" s="14" t="s">
        <v>117</v>
      </c>
      <c r="K4" s="30" t="s">
        <v>4</v>
      </c>
      <c r="L4" s="13" t="n">
        <f aca="false">COUNTIF($B$2:$B$176,"KEEP")</f>
        <v>27</v>
      </c>
      <c r="M4" s="12" t="n">
        <f aca="false">SUMIF($B$2:$B$176,"KEEP",$D$2:$D$176)</f>
        <v>175030.26</v>
      </c>
    </row>
    <row r="5" customFormat="false" ht="29.85" hidden="false" customHeight="false" outlineLevel="0" collapsed="false">
      <c r="A5" s="26" t="s">
        <v>100</v>
      </c>
      <c r="B5" s="22" t="s">
        <v>2</v>
      </c>
      <c r="C5" s="17" t="s">
        <v>100</v>
      </c>
      <c r="D5" s="27" t="n">
        <v>67007</v>
      </c>
      <c r="E5" s="28" t="n">
        <v>1</v>
      </c>
      <c r="F5" s="17"/>
      <c r="G5" s="17"/>
      <c r="H5" s="17"/>
      <c r="I5" s="18" t="s">
        <v>118</v>
      </c>
      <c r="K5" s="31" t="s">
        <v>6</v>
      </c>
      <c r="L5" s="13" t="n">
        <f aca="false">COUNTIF($B$2:$B$176,"SEED")</f>
        <v>13</v>
      </c>
      <c r="M5" s="12" t="n">
        <f aca="false">SUMIF($B$2:$B$176,"SEED",$D$2:$D$176)</f>
        <v>0</v>
      </c>
    </row>
    <row r="6" customFormat="false" ht="15" hidden="false" customHeight="false" outlineLevel="0" collapsed="false">
      <c r="A6" s="20" t="s">
        <v>119</v>
      </c>
      <c r="B6" s="22" t="s">
        <v>2</v>
      </c>
      <c r="C6" s="13" t="s">
        <v>34</v>
      </c>
      <c r="D6" s="23" t="n">
        <v>54365</v>
      </c>
      <c r="E6" s="24" t="n">
        <v>12</v>
      </c>
      <c r="F6" s="13"/>
      <c r="G6" s="13"/>
      <c r="H6" s="13"/>
      <c r="I6" s="14" t="s">
        <v>117</v>
      </c>
      <c r="K6" s="32" t="s">
        <v>8</v>
      </c>
      <c r="L6" s="13" t="n">
        <f aca="false">COUNTIF($B$2:$B$176,"TAIL")</f>
        <v>117</v>
      </c>
      <c r="M6" s="12" t="n">
        <f aca="false">SUMIF($B$2:$B$176,"TAIL",$D$2:$D$176)</f>
        <v>9883</v>
      </c>
    </row>
    <row r="7" customFormat="false" ht="15" hidden="false" customHeight="false" outlineLevel="0" collapsed="false">
      <c r="A7" s="26" t="s">
        <v>120</v>
      </c>
      <c r="B7" s="22" t="s">
        <v>2</v>
      </c>
      <c r="C7" s="17" t="s">
        <v>34</v>
      </c>
      <c r="D7" s="27" t="n">
        <v>37400</v>
      </c>
      <c r="E7" s="28" t="n">
        <v>13</v>
      </c>
      <c r="F7" s="17" t="n">
        <v>1</v>
      </c>
      <c r="G7" s="17" t="n">
        <v>1</v>
      </c>
      <c r="H7" s="17" t="n">
        <v>1</v>
      </c>
      <c r="I7" s="18"/>
      <c r="K7" s="20" t="s">
        <v>121</v>
      </c>
      <c r="L7" s="33" t="n">
        <f aca="false">SUM(L3:L6)</f>
        <v>175</v>
      </c>
      <c r="M7" s="34" t="n">
        <f aca="false">SUM(M3:M6)</f>
        <v>760285.26</v>
      </c>
    </row>
    <row r="8" customFormat="false" ht="15" hidden="false" customHeight="false" outlineLevel="0" collapsed="false">
      <c r="A8" s="20" t="s">
        <v>71</v>
      </c>
      <c r="B8" s="22" t="s">
        <v>2</v>
      </c>
      <c r="C8" s="13" t="s">
        <v>71</v>
      </c>
      <c r="D8" s="23" t="n">
        <v>29686</v>
      </c>
      <c r="E8" s="24" t="n">
        <v>2</v>
      </c>
      <c r="F8" s="13"/>
      <c r="G8" s="13"/>
      <c r="H8" s="13"/>
      <c r="I8" s="14" t="s">
        <v>117</v>
      </c>
    </row>
    <row r="9" customFormat="false" ht="15" hidden="false" customHeight="false" outlineLevel="0" collapsed="false">
      <c r="A9" s="26" t="s">
        <v>88</v>
      </c>
      <c r="B9" s="22" t="s">
        <v>2</v>
      </c>
      <c r="C9" s="17" t="s">
        <v>88</v>
      </c>
      <c r="D9" s="27" t="n">
        <v>27414</v>
      </c>
      <c r="E9" s="28" t="n">
        <v>1</v>
      </c>
      <c r="F9" s="17" t="n">
        <v>2</v>
      </c>
      <c r="G9" s="17" t="n">
        <v>1</v>
      </c>
      <c r="H9" s="17" t="n">
        <v>2</v>
      </c>
      <c r="I9" s="18"/>
    </row>
    <row r="10" customFormat="false" ht="15" hidden="false" customHeight="false" outlineLevel="0" collapsed="false">
      <c r="A10" s="20" t="s">
        <v>122</v>
      </c>
      <c r="B10" s="22" t="s">
        <v>2</v>
      </c>
      <c r="C10" s="13" t="s">
        <v>77</v>
      </c>
      <c r="D10" s="23" t="n">
        <v>23713</v>
      </c>
      <c r="E10" s="24" t="n">
        <v>1</v>
      </c>
      <c r="F10" s="13"/>
      <c r="G10" s="13"/>
      <c r="H10" s="13"/>
      <c r="I10" s="14" t="s">
        <v>117</v>
      </c>
    </row>
    <row r="11" customFormat="false" ht="15" hidden="false" customHeight="false" outlineLevel="0" collapsed="false">
      <c r="A11" s="26" t="s">
        <v>123</v>
      </c>
      <c r="B11" s="22" t="s">
        <v>2</v>
      </c>
      <c r="C11" s="17" t="s">
        <v>34</v>
      </c>
      <c r="D11" s="27" t="n">
        <v>20857</v>
      </c>
      <c r="E11" s="28" t="n">
        <v>4</v>
      </c>
      <c r="F11" s="17" t="n">
        <v>1</v>
      </c>
      <c r="G11" s="17" t="n">
        <v>1</v>
      </c>
      <c r="H11" s="17" t="n">
        <v>1</v>
      </c>
      <c r="I11" s="18"/>
    </row>
    <row r="12" customFormat="false" ht="15" hidden="false" customHeight="false" outlineLevel="0" collapsed="false">
      <c r="A12" s="20" t="s">
        <v>124</v>
      </c>
      <c r="B12" s="22" t="s">
        <v>2</v>
      </c>
      <c r="C12" s="13" t="s">
        <v>83</v>
      </c>
      <c r="D12" s="23" t="n">
        <v>13882</v>
      </c>
      <c r="E12" s="24" t="n">
        <v>1</v>
      </c>
      <c r="F12" s="13"/>
      <c r="G12" s="13"/>
      <c r="H12" s="13"/>
      <c r="I12" s="14" t="s">
        <v>117</v>
      </c>
    </row>
    <row r="13" customFormat="false" ht="15" hidden="false" customHeight="false" outlineLevel="0" collapsed="false">
      <c r="A13" s="26" t="s">
        <v>125</v>
      </c>
      <c r="B13" s="22" t="s">
        <v>2</v>
      </c>
      <c r="C13" s="17" t="s">
        <v>34</v>
      </c>
      <c r="D13" s="27" t="n">
        <v>7610</v>
      </c>
      <c r="E13" s="28" t="n">
        <v>1</v>
      </c>
      <c r="F13" s="17"/>
      <c r="G13" s="17"/>
      <c r="H13" s="17"/>
      <c r="I13" s="18" t="s">
        <v>117</v>
      </c>
    </row>
    <row r="14" customFormat="false" ht="15" hidden="false" customHeight="false" outlineLevel="0" collapsed="false">
      <c r="A14" s="20" t="s">
        <v>126</v>
      </c>
      <c r="B14" s="22" t="s">
        <v>2</v>
      </c>
      <c r="C14" s="13" t="s">
        <v>34</v>
      </c>
      <c r="D14" s="23" t="n">
        <v>2933</v>
      </c>
      <c r="E14" s="24" t="n">
        <v>1</v>
      </c>
      <c r="F14" s="13" t="n">
        <v>1</v>
      </c>
      <c r="G14" s="13" t="n">
        <v>1</v>
      </c>
      <c r="H14" s="13" t="n">
        <v>1</v>
      </c>
      <c r="I14" s="14"/>
    </row>
    <row r="15" customFormat="false" ht="15" hidden="false" customHeight="false" outlineLevel="0" collapsed="false">
      <c r="A15" s="26" t="s">
        <v>127</v>
      </c>
      <c r="B15" s="22" t="s">
        <v>2</v>
      </c>
      <c r="C15" s="17" t="s">
        <v>34</v>
      </c>
      <c r="D15" s="27" t="n">
        <v>2919</v>
      </c>
      <c r="E15" s="28" t="n">
        <v>2</v>
      </c>
      <c r="F15" s="17" t="n">
        <v>1</v>
      </c>
      <c r="G15" s="17" t="n">
        <v>1</v>
      </c>
      <c r="H15" s="17" t="n">
        <v>1</v>
      </c>
      <c r="I15" s="18"/>
    </row>
    <row r="16" customFormat="false" ht="29.85" hidden="false" customHeight="false" outlineLevel="0" collapsed="false">
      <c r="A16" s="20" t="s">
        <v>128</v>
      </c>
      <c r="B16" s="22" t="s">
        <v>2</v>
      </c>
      <c r="C16" s="13" t="s">
        <v>34</v>
      </c>
      <c r="D16" s="23" t="n">
        <v>0</v>
      </c>
      <c r="E16" s="24" t="n">
        <v>0</v>
      </c>
      <c r="F16" s="13" t="n">
        <v>1</v>
      </c>
      <c r="G16" s="13" t="n">
        <v>1</v>
      </c>
      <c r="H16" s="13" t="n">
        <v>1</v>
      </c>
      <c r="I16" s="14" t="s">
        <v>129</v>
      </c>
    </row>
    <row r="17" customFormat="false" ht="29.85" hidden="false" customHeight="false" outlineLevel="0" collapsed="false">
      <c r="A17" s="26" t="s">
        <v>130</v>
      </c>
      <c r="B17" s="22" t="s">
        <v>2</v>
      </c>
      <c r="C17" s="17" t="s">
        <v>34</v>
      </c>
      <c r="D17" s="27" t="n">
        <v>0</v>
      </c>
      <c r="E17" s="28" t="n">
        <v>0</v>
      </c>
      <c r="F17" s="17" t="n">
        <v>2</v>
      </c>
      <c r="G17" s="17" t="n">
        <v>1</v>
      </c>
      <c r="H17" s="17" t="n">
        <v>2</v>
      </c>
      <c r="I17" s="18" t="s">
        <v>131</v>
      </c>
    </row>
    <row r="18" customFormat="false" ht="29.85" hidden="false" customHeight="false" outlineLevel="0" collapsed="false">
      <c r="A18" s="20" t="s">
        <v>132</v>
      </c>
      <c r="B18" s="22" t="s">
        <v>2</v>
      </c>
      <c r="C18" s="13" t="s">
        <v>34</v>
      </c>
      <c r="D18" s="23" t="n">
        <v>0</v>
      </c>
      <c r="E18" s="24" t="n">
        <v>0</v>
      </c>
      <c r="F18" s="13" t="n">
        <v>2</v>
      </c>
      <c r="G18" s="13" t="n">
        <v>1</v>
      </c>
      <c r="H18" s="13" t="n">
        <v>2</v>
      </c>
      <c r="I18" s="14" t="s">
        <v>131</v>
      </c>
    </row>
    <row r="19" customFormat="false" ht="29.85" hidden="false" customHeight="false" outlineLevel="0" collapsed="false">
      <c r="A19" s="26" t="s">
        <v>133</v>
      </c>
      <c r="B19" s="22" t="s">
        <v>2</v>
      </c>
      <c r="C19" s="17" t="s">
        <v>94</v>
      </c>
      <c r="D19" s="27" t="n">
        <v>0</v>
      </c>
      <c r="E19" s="28" t="n">
        <v>0</v>
      </c>
      <c r="F19" s="17"/>
      <c r="G19" s="17"/>
      <c r="H19" s="17"/>
      <c r="I19" s="18" t="s">
        <v>134</v>
      </c>
    </row>
    <row r="20" customFormat="false" ht="44" hidden="false" customHeight="false" outlineLevel="0" collapsed="false">
      <c r="A20" s="13" t="s">
        <v>135</v>
      </c>
      <c r="B20" s="35" t="s">
        <v>4</v>
      </c>
      <c r="C20" s="13"/>
      <c r="D20" s="23" t="n">
        <v>75920</v>
      </c>
      <c r="E20" s="24" t="n">
        <v>5</v>
      </c>
      <c r="F20" s="13" t="n">
        <v>2</v>
      </c>
      <c r="G20" s="13" t="n">
        <v>1</v>
      </c>
      <c r="H20" s="13" t="n">
        <v>2</v>
      </c>
      <c r="I20" s="14" t="s">
        <v>136</v>
      </c>
    </row>
    <row r="21" customFormat="false" ht="29.85" hidden="false" customHeight="false" outlineLevel="0" collapsed="false">
      <c r="A21" s="17" t="s">
        <v>137</v>
      </c>
      <c r="B21" s="35" t="s">
        <v>4</v>
      </c>
      <c r="C21" s="17"/>
      <c r="D21" s="27" t="n">
        <v>21923</v>
      </c>
      <c r="E21" s="28" t="n">
        <v>10</v>
      </c>
      <c r="F21" s="17" t="n">
        <v>2</v>
      </c>
      <c r="G21" s="17" t="n">
        <v>1</v>
      </c>
      <c r="H21" s="17" t="n">
        <v>2</v>
      </c>
      <c r="I21" s="18" t="s">
        <v>138</v>
      </c>
    </row>
    <row r="22" customFormat="false" ht="15" hidden="false" customHeight="false" outlineLevel="0" collapsed="false">
      <c r="A22" s="13" t="s">
        <v>139</v>
      </c>
      <c r="B22" s="35" t="s">
        <v>4</v>
      </c>
      <c r="C22" s="13"/>
      <c r="D22" s="23" t="n">
        <v>9752</v>
      </c>
      <c r="E22" s="24" t="n">
        <v>2</v>
      </c>
      <c r="F22" s="13"/>
      <c r="G22" s="13"/>
      <c r="H22" s="13"/>
      <c r="I22" s="14" t="s">
        <v>117</v>
      </c>
    </row>
    <row r="23" customFormat="false" ht="15" hidden="false" customHeight="false" outlineLevel="0" collapsed="false">
      <c r="A23" s="17" t="s">
        <v>140</v>
      </c>
      <c r="B23" s="35" t="s">
        <v>4</v>
      </c>
      <c r="C23" s="17"/>
      <c r="D23" s="27" t="n">
        <v>9734</v>
      </c>
      <c r="E23" s="28" t="n">
        <v>5</v>
      </c>
      <c r="F23" s="17" t="n">
        <v>2</v>
      </c>
      <c r="G23" s="17" t="n">
        <v>2</v>
      </c>
      <c r="H23" s="17" t="n">
        <v>3</v>
      </c>
      <c r="I23" s="18"/>
    </row>
    <row r="24" customFormat="false" ht="15" hidden="false" customHeight="false" outlineLevel="0" collapsed="false">
      <c r="A24" s="13" t="s">
        <v>141</v>
      </c>
      <c r="B24" s="35" t="s">
        <v>4</v>
      </c>
      <c r="C24" s="13"/>
      <c r="D24" s="23" t="n">
        <v>9521</v>
      </c>
      <c r="E24" s="24" t="n">
        <v>1</v>
      </c>
      <c r="F24" s="13"/>
      <c r="G24" s="13"/>
      <c r="H24" s="13"/>
      <c r="I24" s="14" t="s">
        <v>117</v>
      </c>
    </row>
    <row r="25" customFormat="false" ht="15" hidden="false" customHeight="false" outlineLevel="0" collapsed="false">
      <c r="A25" s="17" t="s">
        <v>142</v>
      </c>
      <c r="B25" s="35" t="s">
        <v>4</v>
      </c>
      <c r="C25" s="17"/>
      <c r="D25" s="27" t="n">
        <v>7297</v>
      </c>
      <c r="E25" s="28" t="n">
        <v>2</v>
      </c>
      <c r="F25" s="17"/>
      <c r="G25" s="17"/>
      <c r="H25" s="17"/>
      <c r="I25" s="18" t="s">
        <v>117</v>
      </c>
    </row>
    <row r="26" customFormat="false" ht="15" hidden="false" customHeight="false" outlineLevel="0" collapsed="false">
      <c r="A26" s="13" t="s">
        <v>143</v>
      </c>
      <c r="B26" s="35" t="s">
        <v>4</v>
      </c>
      <c r="C26" s="13"/>
      <c r="D26" s="23" t="n">
        <v>4334</v>
      </c>
      <c r="E26" s="24" t="n">
        <v>1</v>
      </c>
      <c r="F26" s="13"/>
      <c r="G26" s="13"/>
      <c r="H26" s="13"/>
      <c r="I26" s="14" t="s">
        <v>117</v>
      </c>
    </row>
    <row r="27" customFormat="false" ht="15" hidden="false" customHeight="false" outlineLevel="0" collapsed="false">
      <c r="A27" s="17" t="s">
        <v>144</v>
      </c>
      <c r="B27" s="35" t="s">
        <v>4</v>
      </c>
      <c r="C27" s="17"/>
      <c r="D27" s="27" t="n">
        <v>4144</v>
      </c>
      <c r="E27" s="28" t="n">
        <v>1</v>
      </c>
      <c r="F27" s="17"/>
      <c r="G27" s="17"/>
      <c r="H27" s="17"/>
      <c r="I27" s="18" t="s">
        <v>117</v>
      </c>
    </row>
    <row r="28" customFormat="false" ht="15" hidden="false" customHeight="false" outlineLevel="0" collapsed="false">
      <c r="A28" s="13" t="s">
        <v>145</v>
      </c>
      <c r="B28" s="35" t="s">
        <v>4</v>
      </c>
      <c r="C28" s="13"/>
      <c r="D28" s="23" t="n">
        <v>4056</v>
      </c>
      <c r="E28" s="24" t="n">
        <v>1</v>
      </c>
      <c r="F28" s="13"/>
      <c r="G28" s="13"/>
      <c r="H28" s="13"/>
      <c r="I28" s="14" t="s">
        <v>117</v>
      </c>
    </row>
    <row r="29" customFormat="false" ht="15" hidden="false" customHeight="false" outlineLevel="0" collapsed="false">
      <c r="A29" s="17" t="s">
        <v>146</v>
      </c>
      <c r="B29" s="35" t="s">
        <v>4</v>
      </c>
      <c r="C29" s="17"/>
      <c r="D29" s="27" t="n">
        <v>3871</v>
      </c>
      <c r="E29" s="28" t="n">
        <v>1</v>
      </c>
      <c r="F29" s="17"/>
      <c r="G29" s="17"/>
      <c r="H29" s="17"/>
      <c r="I29" s="18" t="s">
        <v>117</v>
      </c>
    </row>
    <row r="30" customFormat="false" ht="44" hidden="false" customHeight="false" outlineLevel="0" collapsed="false">
      <c r="A30" s="13" t="s">
        <v>147</v>
      </c>
      <c r="B30" s="35" t="s">
        <v>4</v>
      </c>
      <c r="C30" s="13"/>
      <c r="D30" s="23" t="n">
        <v>3592.86</v>
      </c>
      <c r="E30" s="24" t="n">
        <v>5</v>
      </c>
      <c r="F30" s="13"/>
      <c r="G30" s="13"/>
      <c r="H30" s="13"/>
      <c r="I30" s="14" t="s">
        <v>148</v>
      </c>
    </row>
    <row r="31" customFormat="false" ht="15" hidden="false" customHeight="false" outlineLevel="0" collapsed="false">
      <c r="A31" s="17" t="s">
        <v>149</v>
      </c>
      <c r="B31" s="35" t="s">
        <v>4</v>
      </c>
      <c r="C31" s="17"/>
      <c r="D31" s="27" t="n">
        <v>3540</v>
      </c>
      <c r="E31" s="28" t="n">
        <v>1</v>
      </c>
      <c r="F31" s="17"/>
      <c r="G31" s="17"/>
      <c r="H31" s="17"/>
      <c r="I31" s="18" t="s">
        <v>117</v>
      </c>
    </row>
    <row r="32" customFormat="false" ht="15" hidden="false" customHeight="false" outlineLevel="0" collapsed="false">
      <c r="A32" s="13" t="s">
        <v>150</v>
      </c>
      <c r="B32" s="35" t="s">
        <v>4</v>
      </c>
      <c r="C32" s="13"/>
      <c r="D32" s="23" t="n">
        <v>3279</v>
      </c>
      <c r="E32" s="24" t="n">
        <v>5</v>
      </c>
      <c r="F32" s="13" t="n">
        <v>2</v>
      </c>
      <c r="G32" s="13" t="n">
        <v>2</v>
      </c>
      <c r="H32" s="13" t="n">
        <v>2</v>
      </c>
      <c r="I32" s="14"/>
    </row>
    <row r="33" customFormat="false" ht="15" hidden="false" customHeight="false" outlineLevel="0" collapsed="false">
      <c r="A33" s="17" t="s">
        <v>151</v>
      </c>
      <c r="B33" s="35" t="s">
        <v>4</v>
      </c>
      <c r="C33" s="17"/>
      <c r="D33" s="27" t="n">
        <v>2557</v>
      </c>
      <c r="E33" s="28" t="n">
        <v>2</v>
      </c>
      <c r="F33" s="17"/>
      <c r="G33" s="17"/>
      <c r="H33" s="17"/>
      <c r="I33" s="18" t="s">
        <v>117</v>
      </c>
    </row>
    <row r="34" customFormat="false" ht="15" hidden="false" customHeight="false" outlineLevel="0" collapsed="false">
      <c r="A34" s="13" t="s">
        <v>152</v>
      </c>
      <c r="B34" s="35" t="s">
        <v>4</v>
      </c>
      <c r="C34" s="13"/>
      <c r="D34" s="23" t="n">
        <v>2378</v>
      </c>
      <c r="E34" s="24" t="n">
        <v>1</v>
      </c>
      <c r="F34" s="13" t="n">
        <v>2</v>
      </c>
      <c r="G34" s="13" t="n">
        <v>1</v>
      </c>
      <c r="H34" s="13" t="n">
        <v>2</v>
      </c>
      <c r="I34" s="14"/>
    </row>
    <row r="35" customFormat="false" ht="15" hidden="false" customHeight="false" outlineLevel="0" collapsed="false">
      <c r="A35" s="17" t="s">
        <v>153</v>
      </c>
      <c r="B35" s="35" t="s">
        <v>4</v>
      </c>
      <c r="C35" s="17"/>
      <c r="D35" s="27" t="n">
        <v>2141</v>
      </c>
      <c r="E35" s="28" t="n">
        <v>2</v>
      </c>
      <c r="F35" s="17" t="n">
        <v>3</v>
      </c>
      <c r="G35" s="17" t="n">
        <v>1</v>
      </c>
      <c r="H35" s="17" t="n">
        <v>3</v>
      </c>
      <c r="I35" s="18"/>
    </row>
    <row r="36" customFormat="false" ht="29.85" hidden="false" customHeight="false" outlineLevel="0" collapsed="false">
      <c r="A36" s="13" t="s">
        <v>154</v>
      </c>
      <c r="B36" s="35" t="s">
        <v>4</v>
      </c>
      <c r="C36" s="13"/>
      <c r="D36" s="23" t="n">
        <v>1699</v>
      </c>
      <c r="E36" s="24" t="n">
        <v>2</v>
      </c>
      <c r="F36" s="13" t="n">
        <v>2</v>
      </c>
      <c r="G36" s="13" t="n">
        <v>1</v>
      </c>
      <c r="H36" s="13" t="n">
        <v>2</v>
      </c>
      <c r="I36" s="14" t="s">
        <v>155</v>
      </c>
    </row>
    <row r="37" customFormat="false" ht="29.85" hidden="false" customHeight="false" outlineLevel="0" collapsed="false">
      <c r="A37" s="17" t="s">
        <v>156</v>
      </c>
      <c r="B37" s="35" t="s">
        <v>4</v>
      </c>
      <c r="C37" s="17"/>
      <c r="D37" s="27" t="n">
        <v>1696.7</v>
      </c>
      <c r="E37" s="28" t="n">
        <v>4</v>
      </c>
      <c r="F37" s="17" t="n">
        <v>1</v>
      </c>
      <c r="G37" s="17" t="n">
        <v>1</v>
      </c>
      <c r="H37" s="17" t="n">
        <v>1</v>
      </c>
      <c r="I37" s="18" t="s">
        <v>157</v>
      </c>
    </row>
    <row r="38" customFormat="false" ht="15" hidden="false" customHeight="false" outlineLevel="0" collapsed="false">
      <c r="A38" s="13" t="s">
        <v>158</v>
      </c>
      <c r="B38" s="35" t="s">
        <v>4</v>
      </c>
      <c r="C38" s="13"/>
      <c r="D38" s="23" t="n">
        <v>1421</v>
      </c>
      <c r="E38" s="24" t="n">
        <v>2</v>
      </c>
      <c r="F38" s="13" t="n">
        <v>2</v>
      </c>
      <c r="G38" s="13" t="n">
        <v>1</v>
      </c>
      <c r="H38" s="13" t="n">
        <v>2</v>
      </c>
      <c r="I38" s="14"/>
    </row>
    <row r="39" customFormat="false" ht="15" hidden="false" customHeight="false" outlineLevel="0" collapsed="false">
      <c r="A39" s="17" t="s">
        <v>159</v>
      </c>
      <c r="B39" s="35" t="s">
        <v>4</v>
      </c>
      <c r="C39" s="17"/>
      <c r="D39" s="27" t="n">
        <v>1105</v>
      </c>
      <c r="E39" s="28" t="n">
        <v>1</v>
      </c>
      <c r="F39" s="17" t="n">
        <v>3</v>
      </c>
      <c r="G39" s="17" t="n">
        <v>1</v>
      </c>
      <c r="H39" s="17" t="n">
        <v>2</v>
      </c>
      <c r="I39" s="18"/>
    </row>
    <row r="40" customFormat="false" ht="15" hidden="false" customHeight="false" outlineLevel="0" collapsed="false">
      <c r="A40" s="13" t="s">
        <v>160</v>
      </c>
      <c r="B40" s="35" t="s">
        <v>4</v>
      </c>
      <c r="C40" s="13"/>
      <c r="D40" s="23" t="n">
        <v>780.7</v>
      </c>
      <c r="E40" s="24" t="n">
        <v>3</v>
      </c>
      <c r="F40" s="13" t="n">
        <v>2</v>
      </c>
      <c r="G40" s="13" t="n">
        <v>2</v>
      </c>
      <c r="H40" s="13" t="n">
        <v>2</v>
      </c>
      <c r="I40" s="14"/>
    </row>
    <row r="41" customFormat="false" ht="15" hidden="false" customHeight="false" outlineLevel="0" collapsed="false">
      <c r="A41" s="17" t="s">
        <v>161</v>
      </c>
      <c r="B41" s="35" t="s">
        <v>4</v>
      </c>
      <c r="C41" s="17"/>
      <c r="D41" s="27" t="n">
        <v>288</v>
      </c>
      <c r="E41" s="28" t="n">
        <v>1</v>
      </c>
      <c r="F41" s="17" t="n">
        <v>3</v>
      </c>
      <c r="G41" s="17" t="n">
        <v>2</v>
      </c>
      <c r="H41" s="17" t="n">
        <v>2</v>
      </c>
      <c r="I41" s="18"/>
    </row>
    <row r="42" customFormat="false" ht="29.85" hidden="false" customHeight="false" outlineLevel="0" collapsed="false">
      <c r="A42" s="13" t="s">
        <v>162</v>
      </c>
      <c r="B42" s="35" t="s">
        <v>4</v>
      </c>
      <c r="C42" s="13"/>
      <c r="D42" s="23" t="n">
        <v>0</v>
      </c>
      <c r="E42" s="24" t="n">
        <v>0</v>
      </c>
      <c r="F42" s="13" t="n">
        <v>3</v>
      </c>
      <c r="G42" s="13" t="n">
        <v>1</v>
      </c>
      <c r="H42" s="13" t="n">
        <v>2</v>
      </c>
      <c r="I42" s="14" t="s">
        <v>163</v>
      </c>
    </row>
    <row r="43" customFormat="false" ht="44" hidden="false" customHeight="false" outlineLevel="0" collapsed="false">
      <c r="A43" s="17" t="s">
        <v>164</v>
      </c>
      <c r="B43" s="35" t="s">
        <v>4</v>
      </c>
      <c r="C43" s="17"/>
      <c r="D43" s="27" t="n">
        <v>0</v>
      </c>
      <c r="E43" s="28" t="n">
        <v>0</v>
      </c>
      <c r="F43" s="17" t="n">
        <v>2</v>
      </c>
      <c r="G43" s="17" t="n">
        <v>1</v>
      </c>
      <c r="H43" s="17" t="n">
        <v>1</v>
      </c>
      <c r="I43" s="18" t="s">
        <v>165</v>
      </c>
    </row>
    <row r="44" customFormat="false" ht="29.85" hidden="false" customHeight="false" outlineLevel="0" collapsed="false">
      <c r="A44" s="13" t="s">
        <v>166</v>
      </c>
      <c r="B44" s="35" t="s">
        <v>4</v>
      </c>
      <c r="C44" s="13"/>
      <c r="D44" s="23" t="n">
        <v>0</v>
      </c>
      <c r="E44" s="24" t="n">
        <v>0</v>
      </c>
      <c r="F44" s="13" t="n">
        <v>2</v>
      </c>
      <c r="G44" s="13" t="n">
        <v>2</v>
      </c>
      <c r="H44" s="13" t="n">
        <v>2</v>
      </c>
      <c r="I44" s="14" t="s">
        <v>167</v>
      </c>
    </row>
    <row r="45" customFormat="false" ht="29.85" hidden="false" customHeight="false" outlineLevel="0" collapsed="false">
      <c r="A45" s="17" t="s">
        <v>168</v>
      </c>
      <c r="B45" s="35" t="s">
        <v>4</v>
      </c>
      <c r="C45" s="17"/>
      <c r="D45" s="27" t="n">
        <v>0</v>
      </c>
      <c r="E45" s="28" t="n">
        <v>0</v>
      </c>
      <c r="F45" s="17" t="n">
        <v>3</v>
      </c>
      <c r="G45" s="17" t="n">
        <v>2</v>
      </c>
      <c r="H45" s="17" t="n">
        <v>2</v>
      </c>
      <c r="I45" s="18" t="s">
        <v>167</v>
      </c>
    </row>
    <row r="46" customFormat="false" ht="29.85" hidden="false" customHeight="false" outlineLevel="0" collapsed="false">
      <c r="A46" s="13" t="s">
        <v>169</v>
      </c>
      <c r="B46" s="35" t="s">
        <v>4</v>
      </c>
      <c r="C46" s="13"/>
      <c r="D46" s="23" t="n">
        <v>0</v>
      </c>
      <c r="E46" s="24" t="n">
        <v>0</v>
      </c>
      <c r="F46" s="13" t="n">
        <v>1</v>
      </c>
      <c r="G46" s="13" t="n">
        <v>1</v>
      </c>
      <c r="H46" s="13" t="n">
        <v>1</v>
      </c>
      <c r="I46" s="14" t="s">
        <v>170</v>
      </c>
    </row>
    <row r="47" customFormat="false" ht="15" hidden="false" customHeight="false" outlineLevel="0" collapsed="false">
      <c r="A47" s="17" t="s">
        <v>171</v>
      </c>
      <c r="B47" s="36" t="s">
        <v>6</v>
      </c>
      <c r="C47" s="17"/>
      <c r="D47" s="27" t="n">
        <v>0</v>
      </c>
      <c r="E47" s="28" t="n">
        <v>0</v>
      </c>
      <c r="F47" s="17"/>
      <c r="G47" s="17"/>
      <c r="H47" s="17"/>
      <c r="I47" s="18" t="s">
        <v>172</v>
      </c>
    </row>
    <row r="48" customFormat="false" ht="29.85" hidden="false" customHeight="false" outlineLevel="0" collapsed="false">
      <c r="A48" s="13" t="s">
        <v>173</v>
      </c>
      <c r="B48" s="36" t="s">
        <v>6</v>
      </c>
      <c r="C48" s="13"/>
      <c r="D48" s="23" t="n">
        <v>0</v>
      </c>
      <c r="E48" s="24" t="n">
        <v>0</v>
      </c>
      <c r="F48" s="13" t="n">
        <v>2</v>
      </c>
      <c r="G48" s="13" t="n">
        <v>1</v>
      </c>
      <c r="H48" s="13" t="n">
        <v>2</v>
      </c>
      <c r="I48" s="14" t="s">
        <v>174</v>
      </c>
    </row>
    <row r="49" customFormat="false" ht="29.85" hidden="false" customHeight="false" outlineLevel="0" collapsed="false">
      <c r="A49" s="17" t="s">
        <v>175</v>
      </c>
      <c r="B49" s="36" t="s">
        <v>6</v>
      </c>
      <c r="C49" s="17"/>
      <c r="D49" s="27" t="n">
        <v>0</v>
      </c>
      <c r="E49" s="28" t="n">
        <v>0</v>
      </c>
      <c r="F49" s="17" t="n">
        <v>2</v>
      </c>
      <c r="G49" s="17" t="n">
        <v>1</v>
      </c>
      <c r="H49" s="17" t="n">
        <v>2</v>
      </c>
      <c r="I49" s="18" t="s">
        <v>174</v>
      </c>
    </row>
    <row r="50" customFormat="false" ht="29.85" hidden="false" customHeight="false" outlineLevel="0" collapsed="false">
      <c r="A50" s="13" t="s">
        <v>176</v>
      </c>
      <c r="B50" s="36" t="s">
        <v>6</v>
      </c>
      <c r="C50" s="13"/>
      <c r="D50" s="23" t="n">
        <v>0</v>
      </c>
      <c r="E50" s="24" t="n">
        <v>0</v>
      </c>
      <c r="F50" s="13" t="n">
        <v>2</v>
      </c>
      <c r="G50" s="13" t="n">
        <v>1</v>
      </c>
      <c r="H50" s="13" t="n">
        <v>2</v>
      </c>
      <c r="I50" s="14" t="s">
        <v>174</v>
      </c>
    </row>
    <row r="51" customFormat="false" ht="29.85" hidden="false" customHeight="false" outlineLevel="0" collapsed="false">
      <c r="A51" s="17" t="s">
        <v>177</v>
      </c>
      <c r="B51" s="36" t="s">
        <v>6</v>
      </c>
      <c r="C51" s="17"/>
      <c r="D51" s="27" t="n">
        <v>0</v>
      </c>
      <c r="E51" s="28" t="n">
        <v>0</v>
      </c>
      <c r="F51" s="17" t="n">
        <v>1</v>
      </c>
      <c r="G51" s="17" t="n">
        <v>1</v>
      </c>
      <c r="H51" s="17" t="n">
        <v>2</v>
      </c>
      <c r="I51" s="18" t="s">
        <v>178</v>
      </c>
    </row>
    <row r="52" customFormat="false" ht="29.85" hidden="false" customHeight="false" outlineLevel="0" collapsed="false">
      <c r="A52" s="13" t="s">
        <v>179</v>
      </c>
      <c r="B52" s="36" t="s">
        <v>6</v>
      </c>
      <c r="C52" s="13"/>
      <c r="D52" s="23" t="n">
        <v>0</v>
      </c>
      <c r="E52" s="24" t="n">
        <v>0</v>
      </c>
      <c r="F52" s="13" t="n">
        <v>2</v>
      </c>
      <c r="G52" s="13" t="n">
        <v>1</v>
      </c>
      <c r="H52" s="13" t="n">
        <v>2</v>
      </c>
      <c r="I52" s="14" t="s">
        <v>180</v>
      </c>
    </row>
    <row r="53" customFormat="false" ht="29.85" hidden="false" customHeight="false" outlineLevel="0" collapsed="false">
      <c r="A53" s="17" t="s">
        <v>181</v>
      </c>
      <c r="B53" s="36" t="s">
        <v>6</v>
      </c>
      <c r="C53" s="17"/>
      <c r="D53" s="27" t="n">
        <v>0</v>
      </c>
      <c r="E53" s="28" t="n">
        <v>0</v>
      </c>
      <c r="F53" s="17" t="n">
        <v>3</v>
      </c>
      <c r="G53" s="17" t="n">
        <v>1</v>
      </c>
      <c r="H53" s="17" t="n">
        <v>2</v>
      </c>
      <c r="I53" s="18" t="s">
        <v>174</v>
      </c>
    </row>
    <row r="54" customFormat="false" ht="29.85" hidden="false" customHeight="false" outlineLevel="0" collapsed="false">
      <c r="A54" s="13" t="s">
        <v>182</v>
      </c>
      <c r="B54" s="36" t="s">
        <v>6</v>
      </c>
      <c r="C54" s="13"/>
      <c r="D54" s="23" t="n">
        <v>0</v>
      </c>
      <c r="E54" s="24" t="n">
        <v>0</v>
      </c>
      <c r="F54" s="13" t="n">
        <v>2</v>
      </c>
      <c r="G54" s="13" t="n">
        <v>1</v>
      </c>
      <c r="H54" s="13" t="n">
        <v>2</v>
      </c>
      <c r="I54" s="14" t="s">
        <v>174</v>
      </c>
    </row>
    <row r="55" customFormat="false" ht="29.85" hidden="false" customHeight="false" outlineLevel="0" collapsed="false">
      <c r="A55" s="17" t="s">
        <v>183</v>
      </c>
      <c r="B55" s="36" t="s">
        <v>6</v>
      </c>
      <c r="C55" s="17"/>
      <c r="D55" s="27" t="n">
        <v>0</v>
      </c>
      <c r="E55" s="28" t="n">
        <v>0</v>
      </c>
      <c r="F55" s="17" t="n">
        <v>2</v>
      </c>
      <c r="G55" s="17" t="n">
        <v>1</v>
      </c>
      <c r="H55" s="17" t="n">
        <v>2</v>
      </c>
      <c r="I55" s="18" t="s">
        <v>174</v>
      </c>
    </row>
    <row r="56" customFormat="false" ht="29.85" hidden="false" customHeight="false" outlineLevel="0" collapsed="false">
      <c r="A56" s="13" t="s">
        <v>184</v>
      </c>
      <c r="B56" s="36" t="s">
        <v>6</v>
      </c>
      <c r="C56" s="13"/>
      <c r="D56" s="23" t="n">
        <v>0</v>
      </c>
      <c r="E56" s="24" t="n">
        <v>0</v>
      </c>
      <c r="F56" s="13" t="n">
        <v>3</v>
      </c>
      <c r="G56" s="13" t="n">
        <v>1</v>
      </c>
      <c r="H56" s="13" t="n">
        <v>2</v>
      </c>
      <c r="I56" s="14" t="s">
        <v>174</v>
      </c>
    </row>
    <row r="57" customFormat="false" ht="29.85" hidden="false" customHeight="false" outlineLevel="0" collapsed="false">
      <c r="A57" s="17" t="s">
        <v>185</v>
      </c>
      <c r="B57" s="36" t="s">
        <v>6</v>
      </c>
      <c r="C57" s="17"/>
      <c r="D57" s="27" t="n">
        <v>0</v>
      </c>
      <c r="E57" s="28" t="n">
        <v>0</v>
      </c>
      <c r="F57" s="17" t="n">
        <v>3</v>
      </c>
      <c r="G57" s="17" t="n">
        <v>1</v>
      </c>
      <c r="H57" s="17" t="n">
        <v>2</v>
      </c>
      <c r="I57" s="18" t="s">
        <v>186</v>
      </c>
    </row>
    <row r="58" customFormat="false" ht="29.85" hidden="false" customHeight="false" outlineLevel="0" collapsed="false">
      <c r="A58" s="13" t="s">
        <v>187</v>
      </c>
      <c r="B58" s="36" t="s">
        <v>6</v>
      </c>
      <c r="C58" s="13"/>
      <c r="D58" s="23" t="n">
        <v>0</v>
      </c>
      <c r="E58" s="24" t="n">
        <v>0</v>
      </c>
      <c r="F58" s="13" t="n">
        <v>3</v>
      </c>
      <c r="G58" s="13" t="n">
        <v>1</v>
      </c>
      <c r="H58" s="13" t="n">
        <v>2</v>
      </c>
      <c r="I58" s="14" t="s">
        <v>186</v>
      </c>
    </row>
    <row r="59" customFormat="false" ht="29.85" hidden="false" customHeight="false" outlineLevel="0" collapsed="false">
      <c r="A59" s="17" t="s">
        <v>188</v>
      </c>
      <c r="B59" s="36" t="s">
        <v>6</v>
      </c>
      <c r="C59" s="17"/>
      <c r="D59" s="27" t="n">
        <v>0</v>
      </c>
      <c r="E59" s="28" t="n">
        <v>0</v>
      </c>
      <c r="F59" s="17" t="n">
        <v>2</v>
      </c>
      <c r="G59" s="17" t="n">
        <v>1</v>
      </c>
      <c r="H59" s="17" t="n">
        <v>2</v>
      </c>
      <c r="I59" s="18" t="s">
        <v>174</v>
      </c>
    </row>
    <row r="60" customFormat="false" ht="15" hidden="false" customHeight="false" outlineLevel="0" collapsed="false">
      <c r="A60" s="13" t="s">
        <v>189</v>
      </c>
      <c r="B60" s="37" t="s">
        <v>8</v>
      </c>
      <c r="C60" s="13"/>
      <c r="D60" s="23" t="n">
        <v>1770</v>
      </c>
      <c r="E60" s="24" t="n">
        <v>1</v>
      </c>
      <c r="F60" s="13"/>
      <c r="G60" s="13"/>
      <c r="H60" s="13"/>
      <c r="I60" s="14" t="s">
        <v>190</v>
      </c>
    </row>
    <row r="61" customFormat="false" ht="15" hidden="false" customHeight="false" outlineLevel="0" collapsed="false">
      <c r="A61" s="17" t="s">
        <v>191</v>
      </c>
      <c r="B61" s="37" t="s">
        <v>8</v>
      </c>
      <c r="C61" s="17"/>
      <c r="D61" s="27" t="n">
        <v>1626</v>
      </c>
      <c r="E61" s="28" t="n">
        <v>1</v>
      </c>
      <c r="F61" s="17"/>
      <c r="G61" s="17"/>
      <c r="H61" s="17"/>
      <c r="I61" s="18" t="s">
        <v>190</v>
      </c>
    </row>
    <row r="62" customFormat="false" ht="15" hidden="false" customHeight="false" outlineLevel="0" collapsed="false">
      <c r="A62" s="13" t="s">
        <v>192</v>
      </c>
      <c r="B62" s="37" t="s">
        <v>8</v>
      </c>
      <c r="C62" s="13"/>
      <c r="D62" s="23" t="n">
        <v>1300</v>
      </c>
      <c r="E62" s="24" t="n">
        <v>1</v>
      </c>
      <c r="F62" s="13" t="n">
        <v>3</v>
      </c>
      <c r="G62" s="13" t="n">
        <v>2</v>
      </c>
      <c r="H62" s="13" t="n">
        <v>3</v>
      </c>
      <c r="I62" s="14" t="s">
        <v>190</v>
      </c>
    </row>
    <row r="63" customFormat="false" ht="15" hidden="false" customHeight="false" outlineLevel="0" collapsed="false">
      <c r="A63" s="17" t="s">
        <v>193</v>
      </c>
      <c r="B63" s="37" t="s">
        <v>8</v>
      </c>
      <c r="C63" s="17"/>
      <c r="D63" s="27" t="n">
        <v>1182</v>
      </c>
      <c r="E63" s="28" t="n">
        <v>1</v>
      </c>
      <c r="F63" s="17"/>
      <c r="G63" s="17"/>
      <c r="H63" s="17"/>
      <c r="I63" s="18" t="s">
        <v>190</v>
      </c>
    </row>
    <row r="64" customFormat="false" ht="15" hidden="false" customHeight="false" outlineLevel="0" collapsed="false">
      <c r="A64" s="13" t="s">
        <v>194</v>
      </c>
      <c r="B64" s="37" t="s">
        <v>8</v>
      </c>
      <c r="C64" s="13"/>
      <c r="D64" s="23" t="n">
        <v>1022</v>
      </c>
      <c r="E64" s="24" t="n">
        <v>1</v>
      </c>
      <c r="F64" s="13"/>
      <c r="G64" s="13"/>
      <c r="H64" s="13"/>
      <c r="I64" s="14" t="s">
        <v>190</v>
      </c>
    </row>
    <row r="65" customFormat="false" ht="15" hidden="false" customHeight="false" outlineLevel="0" collapsed="false">
      <c r="A65" s="17" t="s">
        <v>195</v>
      </c>
      <c r="B65" s="37" t="s">
        <v>8</v>
      </c>
      <c r="C65" s="17"/>
      <c r="D65" s="27" t="n">
        <v>902</v>
      </c>
      <c r="E65" s="28" t="n">
        <v>1</v>
      </c>
      <c r="F65" s="17" t="n">
        <v>2</v>
      </c>
      <c r="G65" s="17" t="n">
        <v>1</v>
      </c>
      <c r="H65" s="17" t="n">
        <v>3</v>
      </c>
      <c r="I65" s="18" t="s">
        <v>190</v>
      </c>
    </row>
    <row r="66" customFormat="false" ht="15" hidden="false" customHeight="false" outlineLevel="0" collapsed="false">
      <c r="A66" s="13" t="s">
        <v>196</v>
      </c>
      <c r="B66" s="37" t="s">
        <v>8</v>
      </c>
      <c r="C66" s="13"/>
      <c r="D66" s="23" t="n">
        <v>737</v>
      </c>
      <c r="E66" s="24" t="n">
        <v>1</v>
      </c>
      <c r="F66" s="13"/>
      <c r="G66" s="13"/>
      <c r="H66" s="13"/>
      <c r="I66" s="14" t="s">
        <v>190</v>
      </c>
    </row>
    <row r="67" customFormat="false" ht="15" hidden="false" customHeight="false" outlineLevel="0" collapsed="false">
      <c r="A67" s="17" t="s">
        <v>197</v>
      </c>
      <c r="B67" s="37" t="s">
        <v>8</v>
      </c>
      <c r="C67" s="17"/>
      <c r="D67" s="27" t="n">
        <v>735</v>
      </c>
      <c r="E67" s="28" t="n">
        <v>1</v>
      </c>
      <c r="F67" s="17"/>
      <c r="G67" s="17"/>
      <c r="H67" s="17"/>
      <c r="I67" s="18" t="s">
        <v>190</v>
      </c>
    </row>
    <row r="68" customFormat="false" ht="15" hidden="false" customHeight="false" outlineLevel="0" collapsed="false">
      <c r="A68" s="13" t="s">
        <v>198</v>
      </c>
      <c r="B68" s="37" t="s">
        <v>8</v>
      </c>
      <c r="C68" s="13"/>
      <c r="D68" s="23" t="n">
        <v>308</v>
      </c>
      <c r="E68" s="24" t="n">
        <v>1</v>
      </c>
      <c r="F68" s="13" t="n">
        <v>3</v>
      </c>
      <c r="G68" s="13" t="n">
        <v>2</v>
      </c>
      <c r="H68" s="13" t="n">
        <v>3</v>
      </c>
      <c r="I68" s="14" t="s">
        <v>190</v>
      </c>
    </row>
    <row r="69" customFormat="false" ht="15" hidden="false" customHeight="false" outlineLevel="0" collapsed="false">
      <c r="A69" s="17" t="s">
        <v>199</v>
      </c>
      <c r="B69" s="37" t="s">
        <v>8</v>
      </c>
      <c r="C69" s="17"/>
      <c r="D69" s="27" t="n">
        <v>211</v>
      </c>
      <c r="E69" s="28" t="n">
        <v>1</v>
      </c>
      <c r="F69" s="17"/>
      <c r="G69" s="17"/>
      <c r="H69" s="17"/>
      <c r="I69" s="18" t="s">
        <v>190</v>
      </c>
    </row>
    <row r="70" customFormat="false" ht="15" hidden="false" customHeight="false" outlineLevel="0" collapsed="false">
      <c r="A70" s="13" t="s">
        <v>200</v>
      </c>
      <c r="B70" s="37" t="s">
        <v>8</v>
      </c>
      <c r="C70" s="13"/>
      <c r="D70" s="23" t="n">
        <v>90</v>
      </c>
      <c r="E70" s="24" t="n">
        <v>1</v>
      </c>
      <c r="F70" s="13" t="n">
        <v>3</v>
      </c>
      <c r="G70" s="13" t="n">
        <v>3</v>
      </c>
      <c r="H70" s="13" t="n">
        <v>3</v>
      </c>
      <c r="I70" s="14" t="s">
        <v>190</v>
      </c>
    </row>
    <row r="71" customFormat="false" ht="15" hidden="false" customHeight="false" outlineLevel="0" collapsed="false">
      <c r="A71" s="17" t="s">
        <v>201</v>
      </c>
      <c r="B71" s="37" t="s">
        <v>8</v>
      </c>
      <c r="C71" s="17"/>
      <c r="D71" s="27" t="n">
        <v>0</v>
      </c>
      <c r="E71" s="28" t="n">
        <v>0</v>
      </c>
      <c r="F71" s="17" t="n">
        <v>3</v>
      </c>
      <c r="G71" s="17" t="n">
        <v>2</v>
      </c>
      <c r="H71" s="17" t="n">
        <v>3</v>
      </c>
      <c r="I71" s="18"/>
    </row>
    <row r="72" customFormat="false" ht="15" hidden="false" customHeight="false" outlineLevel="0" collapsed="false">
      <c r="A72" s="13" t="s">
        <v>202</v>
      </c>
      <c r="B72" s="37" t="s">
        <v>8</v>
      </c>
      <c r="C72" s="13"/>
      <c r="D72" s="23" t="n">
        <v>0</v>
      </c>
      <c r="E72" s="24" t="n">
        <v>0</v>
      </c>
      <c r="F72" s="13" t="n">
        <v>3</v>
      </c>
      <c r="G72" s="13" t="n">
        <v>2</v>
      </c>
      <c r="H72" s="13" t="n">
        <v>3</v>
      </c>
      <c r="I72" s="14"/>
    </row>
    <row r="73" customFormat="false" ht="15" hidden="false" customHeight="false" outlineLevel="0" collapsed="false">
      <c r="A73" s="17" t="s">
        <v>203</v>
      </c>
      <c r="B73" s="37" t="s">
        <v>8</v>
      </c>
      <c r="C73" s="17"/>
      <c r="D73" s="27" t="n">
        <v>0</v>
      </c>
      <c r="E73" s="28" t="n">
        <v>0</v>
      </c>
      <c r="F73" s="17" t="n">
        <v>3</v>
      </c>
      <c r="G73" s="17" t="n">
        <v>2</v>
      </c>
      <c r="H73" s="17" t="n">
        <v>3</v>
      </c>
      <c r="I73" s="18"/>
    </row>
    <row r="74" customFormat="false" ht="15" hidden="false" customHeight="false" outlineLevel="0" collapsed="false">
      <c r="A74" s="13" t="s">
        <v>204</v>
      </c>
      <c r="B74" s="37" t="s">
        <v>8</v>
      </c>
      <c r="C74" s="13"/>
      <c r="D74" s="23" t="n">
        <v>0</v>
      </c>
      <c r="E74" s="24" t="n">
        <v>0</v>
      </c>
      <c r="F74" s="13" t="n">
        <v>3</v>
      </c>
      <c r="G74" s="13" t="n">
        <v>2</v>
      </c>
      <c r="H74" s="13" t="n">
        <v>3</v>
      </c>
      <c r="I74" s="14"/>
    </row>
    <row r="75" customFormat="false" ht="15" hidden="false" customHeight="false" outlineLevel="0" collapsed="false">
      <c r="A75" s="17" t="s">
        <v>205</v>
      </c>
      <c r="B75" s="37" t="s">
        <v>8</v>
      </c>
      <c r="C75" s="17"/>
      <c r="D75" s="27" t="n">
        <v>0</v>
      </c>
      <c r="E75" s="28" t="n">
        <v>0</v>
      </c>
      <c r="F75" s="17" t="n">
        <v>3</v>
      </c>
      <c r="G75" s="17" t="n">
        <v>2</v>
      </c>
      <c r="H75" s="17" t="n">
        <v>3</v>
      </c>
      <c r="I75" s="18"/>
    </row>
    <row r="76" customFormat="false" ht="15" hidden="false" customHeight="false" outlineLevel="0" collapsed="false">
      <c r="A76" s="13" t="s">
        <v>206</v>
      </c>
      <c r="B76" s="37" t="s">
        <v>8</v>
      </c>
      <c r="C76" s="13"/>
      <c r="D76" s="23" t="n">
        <v>0</v>
      </c>
      <c r="E76" s="24" t="n">
        <v>0</v>
      </c>
      <c r="F76" s="13" t="n">
        <v>3</v>
      </c>
      <c r="G76" s="13" t="n">
        <v>2</v>
      </c>
      <c r="H76" s="13" t="n">
        <v>3</v>
      </c>
      <c r="I76" s="14"/>
    </row>
    <row r="77" customFormat="false" ht="15" hidden="false" customHeight="false" outlineLevel="0" collapsed="false">
      <c r="A77" s="17" t="s">
        <v>207</v>
      </c>
      <c r="B77" s="37" t="s">
        <v>8</v>
      </c>
      <c r="C77" s="17"/>
      <c r="D77" s="27" t="n">
        <v>0</v>
      </c>
      <c r="E77" s="28" t="n">
        <v>0</v>
      </c>
      <c r="F77" s="17" t="n">
        <v>3</v>
      </c>
      <c r="G77" s="17" t="n">
        <v>2</v>
      </c>
      <c r="H77" s="17" t="n">
        <v>3</v>
      </c>
      <c r="I77" s="18"/>
    </row>
    <row r="78" customFormat="false" ht="15" hidden="false" customHeight="false" outlineLevel="0" collapsed="false">
      <c r="A78" s="13" t="s">
        <v>208</v>
      </c>
      <c r="B78" s="37" t="s">
        <v>8</v>
      </c>
      <c r="C78" s="13"/>
      <c r="D78" s="23" t="n">
        <v>0</v>
      </c>
      <c r="E78" s="24" t="n">
        <v>0</v>
      </c>
      <c r="F78" s="13" t="n">
        <v>3</v>
      </c>
      <c r="G78" s="13" t="n">
        <v>2</v>
      </c>
      <c r="H78" s="13" t="n">
        <v>3</v>
      </c>
      <c r="I78" s="14"/>
    </row>
    <row r="79" customFormat="false" ht="15" hidden="false" customHeight="false" outlineLevel="0" collapsed="false">
      <c r="A79" s="17" t="s">
        <v>209</v>
      </c>
      <c r="B79" s="37" t="s">
        <v>8</v>
      </c>
      <c r="C79" s="17"/>
      <c r="D79" s="27" t="n">
        <v>0</v>
      </c>
      <c r="E79" s="28" t="n">
        <v>0</v>
      </c>
      <c r="F79" s="17" t="n">
        <v>3</v>
      </c>
      <c r="G79" s="17" t="n">
        <v>3</v>
      </c>
      <c r="H79" s="17" t="n">
        <v>3</v>
      </c>
      <c r="I79" s="18"/>
    </row>
    <row r="80" customFormat="false" ht="15" hidden="false" customHeight="false" outlineLevel="0" collapsed="false">
      <c r="A80" s="13" t="s">
        <v>210</v>
      </c>
      <c r="B80" s="37" t="s">
        <v>8</v>
      </c>
      <c r="C80" s="13"/>
      <c r="D80" s="23" t="n">
        <v>0</v>
      </c>
      <c r="E80" s="24" t="n">
        <v>0</v>
      </c>
      <c r="F80" s="13" t="n">
        <v>3</v>
      </c>
      <c r="G80" s="13" t="n">
        <v>2</v>
      </c>
      <c r="H80" s="13" t="n">
        <v>3</v>
      </c>
      <c r="I80" s="14"/>
    </row>
    <row r="81" customFormat="false" ht="15" hidden="false" customHeight="false" outlineLevel="0" collapsed="false">
      <c r="A81" s="17" t="s">
        <v>211</v>
      </c>
      <c r="B81" s="37" t="s">
        <v>8</v>
      </c>
      <c r="C81" s="17"/>
      <c r="D81" s="27" t="n">
        <v>0</v>
      </c>
      <c r="E81" s="28" t="n">
        <v>0</v>
      </c>
      <c r="F81" s="17" t="n">
        <v>3</v>
      </c>
      <c r="G81" s="17" t="n">
        <v>2</v>
      </c>
      <c r="H81" s="17" t="n">
        <v>3</v>
      </c>
      <c r="I81" s="18"/>
    </row>
    <row r="82" customFormat="false" ht="15" hidden="false" customHeight="false" outlineLevel="0" collapsed="false">
      <c r="A82" s="13" t="s">
        <v>212</v>
      </c>
      <c r="B82" s="37" t="s">
        <v>8</v>
      </c>
      <c r="C82" s="13"/>
      <c r="D82" s="23" t="n">
        <v>0</v>
      </c>
      <c r="E82" s="24" t="n">
        <v>0</v>
      </c>
      <c r="F82" s="13" t="n">
        <v>3</v>
      </c>
      <c r="G82" s="13" t="n">
        <v>2</v>
      </c>
      <c r="H82" s="13" t="n">
        <v>3</v>
      </c>
      <c r="I82" s="14"/>
    </row>
    <row r="83" customFormat="false" ht="15" hidden="false" customHeight="false" outlineLevel="0" collapsed="false">
      <c r="A83" s="17" t="s">
        <v>213</v>
      </c>
      <c r="B83" s="37" t="s">
        <v>8</v>
      </c>
      <c r="C83" s="17"/>
      <c r="D83" s="27" t="n">
        <v>0</v>
      </c>
      <c r="E83" s="28" t="n">
        <v>0</v>
      </c>
      <c r="F83" s="17" t="n">
        <v>3</v>
      </c>
      <c r="G83" s="17" t="n">
        <v>2</v>
      </c>
      <c r="H83" s="17" t="n">
        <v>3</v>
      </c>
      <c r="I83" s="18"/>
    </row>
    <row r="84" customFormat="false" ht="15" hidden="false" customHeight="false" outlineLevel="0" collapsed="false">
      <c r="A84" s="13" t="s">
        <v>214</v>
      </c>
      <c r="B84" s="37" t="s">
        <v>8</v>
      </c>
      <c r="C84" s="13"/>
      <c r="D84" s="23" t="n">
        <v>0</v>
      </c>
      <c r="E84" s="24" t="n">
        <v>0</v>
      </c>
      <c r="F84" s="13" t="n">
        <v>3</v>
      </c>
      <c r="G84" s="13" t="n">
        <v>2</v>
      </c>
      <c r="H84" s="13" t="n">
        <v>3</v>
      </c>
      <c r="I84" s="14"/>
    </row>
    <row r="85" customFormat="false" ht="15" hidden="false" customHeight="false" outlineLevel="0" collapsed="false">
      <c r="A85" s="17" t="s">
        <v>215</v>
      </c>
      <c r="B85" s="37" t="s">
        <v>8</v>
      </c>
      <c r="C85" s="17"/>
      <c r="D85" s="27" t="n">
        <v>0</v>
      </c>
      <c r="E85" s="28" t="n">
        <v>0</v>
      </c>
      <c r="F85" s="17" t="n">
        <v>3</v>
      </c>
      <c r="G85" s="17" t="n">
        <v>2</v>
      </c>
      <c r="H85" s="17" t="n">
        <v>3</v>
      </c>
      <c r="I85" s="18"/>
    </row>
    <row r="86" customFormat="false" ht="15" hidden="false" customHeight="false" outlineLevel="0" collapsed="false">
      <c r="A86" s="13" t="s">
        <v>216</v>
      </c>
      <c r="B86" s="37" t="s">
        <v>8</v>
      </c>
      <c r="C86" s="13"/>
      <c r="D86" s="23" t="n">
        <v>0</v>
      </c>
      <c r="E86" s="24" t="n">
        <v>0</v>
      </c>
      <c r="F86" s="13" t="n">
        <v>3</v>
      </c>
      <c r="G86" s="13" t="n">
        <v>2</v>
      </c>
      <c r="H86" s="13" t="n">
        <v>3</v>
      </c>
      <c r="I86" s="14"/>
    </row>
    <row r="87" customFormat="false" ht="15" hidden="false" customHeight="false" outlineLevel="0" collapsed="false">
      <c r="A87" s="17" t="s">
        <v>217</v>
      </c>
      <c r="B87" s="37" t="s">
        <v>8</v>
      </c>
      <c r="C87" s="17"/>
      <c r="D87" s="27" t="n">
        <v>0</v>
      </c>
      <c r="E87" s="28" t="n">
        <v>0</v>
      </c>
      <c r="F87" s="17" t="n">
        <v>3</v>
      </c>
      <c r="G87" s="17" t="n">
        <v>2</v>
      </c>
      <c r="H87" s="17" t="n">
        <v>3</v>
      </c>
      <c r="I87" s="18"/>
    </row>
    <row r="88" customFormat="false" ht="15" hidden="false" customHeight="false" outlineLevel="0" collapsed="false">
      <c r="A88" s="13" t="s">
        <v>218</v>
      </c>
      <c r="B88" s="37" t="s">
        <v>8</v>
      </c>
      <c r="C88" s="13"/>
      <c r="D88" s="23" t="n">
        <v>0</v>
      </c>
      <c r="E88" s="24" t="n">
        <v>0</v>
      </c>
      <c r="F88" s="13" t="n">
        <v>3</v>
      </c>
      <c r="G88" s="13" t="n">
        <v>3</v>
      </c>
      <c r="H88" s="13" t="n">
        <v>3</v>
      </c>
      <c r="I88" s="14"/>
    </row>
    <row r="89" customFormat="false" ht="15" hidden="false" customHeight="false" outlineLevel="0" collapsed="false">
      <c r="A89" s="17" t="s">
        <v>219</v>
      </c>
      <c r="B89" s="37" t="s">
        <v>8</v>
      </c>
      <c r="C89" s="17"/>
      <c r="D89" s="27" t="n">
        <v>0</v>
      </c>
      <c r="E89" s="28" t="n">
        <v>0</v>
      </c>
      <c r="F89" s="17" t="n">
        <v>3</v>
      </c>
      <c r="G89" s="17" t="n">
        <v>2</v>
      </c>
      <c r="H89" s="17" t="n">
        <v>3</v>
      </c>
      <c r="I89" s="18"/>
    </row>
    <row r="90" customFormat="false" ht="15" hidden="false" customHeight="false" outlineLevel="0" collapsed="false">
      <c r="A90" s="13" t="s">
        <v>220</v>
      </c>
      <c r="B90" s="37" t="s">
        <v>8</v>
      </c>
      <c r="C90" s="13"/>
      <c r="D90" s="23" t="n">
        <v>0</v>
      </c>
      <c r="E90" s="24" t="n">
        <v>0</v>
      </c>
      <c r="F90" s="13" t="n">
        <v>3</v>
      </c>
      <c r="G90" s="13" t="n">
        <v>3</v>
      </c>
      <c r="H90" s="13" t="n">
        <v>3</v>
      </c>
      <c r="I90" s="14"/>
    </row>
    <row r="91" customFormat="false" ht="15" hidden="false" customHeight="false" outlineLevel="0" collapsed="false">
      <c r="A91" s="17" t="s">
        <v>221</v>
      </c>
      <c r="B91" s="37" t="s">
        <v>8</v>
      </c>
      <c r="C91" s="17"/>
      <c r="D91" s="27" t="n">
        <v>0</v>
      </c>
      <c r="E91" s="28" t="n">
        <v>0</v>
      </c>
      <c r="F91" s="17" t="n">
        <v>3</v>
      </c>
      <c r="G91" s="17" t="n">
        <v>2</v>
      </c>
      <c r="H91" s="17" t="n">
        <v>3</v>
      </c>
      <c r="I91" s="18"/>
    </row>
    <row r="92" customFormat="false" ht="15" hidden="false" customHeight="false" outlineLevel="0" collapsed="false">
      <c r="A92" s="13" t="s">
        <v>222</v>
      </c>
      <c r="B92" s="37" t="s">
        <v>8</v>
      </c>
      <c r="C92" s="13"/>
      <c r="D92" s="23" t="n">
        <v>0</v>
      </c>
      <c r="E92" s="24" t="n">
        <v>0</v>
      </c>
      <c r="F92" s="13" t="n">
        <v>3</v>
      </c>
      <c r="G92" s="13" t="n">
        <v>2</v>
      </c>
      <c r="H92" s="13" t="n">
        <v>3</v>
      </c>
      <c r="I92" s="14"/>
    </row>
    <row r="93" customFormat="false" ht="15" hidden="false" customHeight="false" outlineLevel="0" collapsed="false">
      <c r="A93" s="17" t="s">
        <v>223</v>
      </c>
      <c r="B93" s="37" t="s">
        <v>8</v>
      </c>
      <c r="C93" s="17"/>
      <c r="D93" s="27" t="n">
        <v>0</v>
      </c>
      <c r="E93" s="28" t="n">
        <v>0</v>
      </c>
      <c r="F93" s="17" t="n">
        <v>3</v>
      </c>
      <c r="G93" s="17" t="n">
        <v>2</v>
      </c>
      <c r="H93" s="17" t="n">
        <v>3</v>
      </c>
      <c r="I93" s="18"/>
    </row>
    <row r="94" customFormat="false" ht="15" hidden="false" customHeight="false" outlineLevel="0" collapsed="false">
      <c r="A94" s="13" t="s">
        <v>224</v>
      </c>
      <c r="B94" s="37" t="s">
        <v>8</v>
      </c>
      <c r="C94" s="13"/>
      <c r="D94" s="23" t="n">
        <v>0</v>
      </c>
      <c r="E94" s="24" t="n">
        <v>0</v>
      </c>
      <c r="F94" s="13" t="n">
        <v>3</v>
      </c>
      <c r="G94" s="13" t="n">
        <v>2</v>
      </c>
      <c r="H94" s="13" t="n">
        <v>3</v>
      </c>
      <c r="I94" s="14"/>
    </row>
    <row r="95" customFormat="false" ht="15" hidden="false" customHeight="false" outlineLevel="0" collapsed="false">
      <c r="A95" s="17" t="s">
        <v>225</v>
      </c>
      <c r="B95" s="37" t="s">
        <v>8</v>
      </c>
      <c r="C95" s="17"/>
      <c r="D95" s="27" t="n">
        <v>0</v>
      </c>
      <c r="E95" s="28" t="n">
        <v>0</v>
      </c>
      <c r="F95" s="17" t="n">
        <v>3</v>
      </c>
      <c r="G95" s="17" t="n">
        <v>2</v>
      </c>
      <c r="H95" s="17" t="n">
        <v>3</v>
      </c>
      <c r="I95" s="18"/>
    </row>
    <row r="96" customFormat="false" ht="15" hidden="false" customHeight="false" outlineLevel="0" collapsed="false">
      <c r="A96" s="13" t="s">
        <v>226</v>
      </c>
      <c r="B96" s="37" t="s">
        <v>8</v>
      </c>
      <c r="C96" s="13"/>
      <c r="D96" s="23" t="n">
        <v>0</v>
      </c>
      <c r="E96" s="24" t="n">
        <v>0</v>
      </c>
      <c r="F96" s="13" t="n">
        <v>3</v>
      </c>
      <c r="G96" s="13" t="n">
        <v>2</v>
      </c>
      <c r="H96" s="13" t="n">
        <v>3</v>
      </c>
      <c r="I96" s="14"/>
    </row>
    <row r="97" customFormat="false" ht="15" hidden="false" customHeight="false" outlineLevel="0" collapsed="false">
      <c r="A97" s="17" t="s">
        <v>227</v>
      </c>
      <c r="B97" s="37" t="s">
        <v>8</v>
      </c>
      <c r="C97" s="17"/>
      <c r="D97" s="27" t="n">
        <v>0</v>
      </c>
      <c r="E97" s="28" t="n">
        <v>0</v>
      </c>
      <c r="F97" s="17" t="n">
        <v>3</v>
      </c>
      <c r="G97" s="17" t="n">
        <v>3</v>
      </c>
      <c r="H97" s="17" t="n">
        <v>3</v>
      </c>
      <c r="I97" s="18"/>
    </row>
    <row r="98" customFormat="false" ht="15" hidden="false" customHeight="false" outlineLevel="0" collapsed="false">
      <c r="A98" s="13" t="s">
        <v>228</v>
      </c>
      <c r="B98" s="37" t="s">
        <v>8</v>
      </c>
      <c r="C98" s="13"/>
      <c r="D98" s="23" t="n">
        <v>0</v>
      </c>
      <c r="E98" s="24" t="n">
        <v>0</v>
      </c>
      <c r="F98" s="13" t="n">
        <v>3</v>
      </c>
      <c r="G98" s="13" t="n">
        <v>2</v>
      </c>
      <c r="H98" s="13" t="n">
        <v>3</v>
      </c>
      <c r="I98" s="14"/>
    </row>
    <row r="99" customFormat="false" ht="15" hidden="false" customHeight="false" outlineLevel="0" collapsed="false">
      <c r="A99" s="17" t="s">
        <v>229</v>
      </c>
      <c r="B99" s="37" t="s">
        <v>8</v>
      </c>
      <c r="C99" s="17"/>
      <c r="D99" s="27" t="n">
        <v>0</v>
      </c>
      <c r="E99" s="28" t="n">
        <v>0</v>
      </c>
      <c r="F99" s="17" t="n">
        <v>3</v>
      </c>
      <c r="G99" s="17" t="n">
        <v>3</v>
      </c>
      <c r="H99" s="17" t="n">
        <v>3</v>
      </c>
      <c r="I99" s="18"/>
    </row>
    <row r="100" customFormat="false" ht="15" hidden="false" customHeight="false" outlineLevel="0" collapsed="false">
      <c r="A100" s="13" t="s">
        <v>230</v>
      </c>
      <c r="B100" s="37" t="s">
        <v>8</v>
      </c>
      <c r="C100" s="13"/>
      <c r="D100" s="23" t="n">
        <v>0</v>
      </c>
      <c r="E100" s="24" t="n">
        <v>0</v>
      </c>
      <c r="F100" s="13" t="n">
        <v>3</v>
      </c>
      <c r="G100" s="13" t="n">
        <v>3</v>
      </c>
      <c r="H100" s="13" t="n">
        <v>3</v>
      </c>
      <c r="I100" s="14"/>
    </row>
    <row r="101" customFormat="false" ht="15" hidden="false" customHeight="false" outlineLevel="0" collapsed="false">
      <c r="A101" s="17" t="s">
        <v>231</v>
      </c>
      <c r="B101" s="37" t="s">
        <v>8</v>
      </c>
      <c r="C101" s="17"/>
      <c r="D101" s="27" t="n">
        <v>0</v>
      </c>
      <c r="E101" s="28" t="n">
        <v>0</v>
      </c>
      <c r="F101" s="17" t="n">
        <v>3</v>
      </c>
      <c r="G101" s="17" t="n">
        <v>2</v>
      </c>
      <c r="H101" s="17" t="n">
        <v>3</v>
      </c>
      <c r="I101" s="18"/>
    </row>
    <row r="102" customFormat="false" ht="15" hidden="false" customHeight="false" outlineLevel="0" collapsed="false">
      <c r="A102" s="13" t="s">
        <v>232</v>
      </c>
      <c r="B102" s="37" t="s">
        <v>8</v>
      </c>
      <c r="C102" s="13"/>
      <c r="D102" s="23" t="n">
        <v>0</v>
      </c>
      <c r="E102" s="24" t="n">
        <v>0</v>
      </c>
      <c r="F102" s="13" t="n">
        <v>3</v>
      </c>
      <c r="G102" s="13" t="n">
        <v>2</v>
      </c>
      <c r="H102" s="13" t="n">
        <v>3</v>
      </c>
      <c r="I102" s="14"/>
    </row>
    <row r="103" customFormat="false" ht="15" hidden="false" customHeight="false" outlineLevel="0" collapsed="false">
      <c r="A103" s="17" t="s">
        <v>233</v>
      </c>
      <c r="B103" s="37" t="s">
        <v>8</v>
      </c>
      <c r="C103" s="17"/>
      <c r="D103" s="27" t="n">
        <v>0</v>
      </c>
      <c r="E103" s="28" t="n">
        <v>0</v>
      </c>
      <c r="F103" s="17" t="n">
        <v>3</v>
      </c>
      <c r="G103" s="17" t="n">
        <v>2</v>
      </c>
      <c r="H103" s="17" t="n">
        <v>3</v>
      </c>
      <c r="I103" s="18"/>
    </row>
    <row r="104" customFormat="false" ht="15" hidden="false" customHeight="false" outlineLevel="0" collapsed="false">
      <c r="A104" s="13" t="s">
        <v>234</v>
      </c>
      <c r="B104" s="37" t="s">
        <v>8</v>
      </c>
      <c r="C104" s="13"/>
      <c r="D104" s="23" t="n">
        <v>0</v>
      </c>
      <c r="E104" s="24" t="n">
        <v>0</v>
      </c>
      <c r="F104" s="13" t="n">
        <v>3</v>
      </c>
      <c r="G104" s="13" t="n">
        <v>2</v>
      </c>
      <c r="H104" s="13" t="n">
        <v>3</v>
      </c>
      <c r="I104" s="14"/>
    </row>
    <row r="105" customFormat="false" ht="15" hidden="false" customHeight="false" outlineLevel="0" collapsed="false">
      <c r="A105" s="17" t="s">
        <v>235</v>
      </c>
      <c r="B105" s="37" t="s">
        <v>8</v>
      </c>
      <c r="C105" s="17"/>
      <c r="D105" s="27" t="n">
        <v>0</v>
      </c>
      <c r="E105" s="28" t="n">
        <v>0</v>
      </c>
      <c r="F105" s="17" t="n">
        <v>3</v>
      </c>
      <c r="G105" s="17" t="n">
        <v>2</v>
      </c>
      <c r="H105" s="17" t="n">
        <v>3</v>
      </c>
      <c r="I105" s="18"/>
    </row>
    <row r="106" customFormat="false" ht="15" hidden="false" customHeight="false" outlineLevel="0" collapsed="false">
      <c r="A106" s="13" t="s">
        <v>236</v>
      </c>
      <c r="B106" s="37" t="s">
        <v>8</v>
      </c>
      <c r="C106" s="13"/>
      <c r="D106" s="23" t="n">
        <v>0</v>
      </c>
      <c r="E106" s="24" t="n">
        <v>0</v>
      </c>
      <c r="F106" s="13" t="n">
        <v>3</v>
      </c>
      <c r="G106" s="13" t="n">
        <v>3</v>
      </c>
      <c r="H106" s="13" t="n">
        <v>3</v>
      </c>
      <c r="I106" s="14"/>
    </row>
    <row r="107" customFormat="false" ht="15" hidden="false" customHeight="false" outlineLevel="0" collapsed="false">
      <c r="A107" s="17" t="s">
        <v>237</v>
      </c>
      <c r="B107" s="37" t="s">
        <v>8</v>
      </c>
      <c r="C107" s="17"/>
      <c r="D107" s="27" t="n">
        <v>0</v>
      </c>
      <c r="E107" s="28" t="n">
        <v>0</v>
      </c>
      <c r="F107" s="17" t="n">
        <v>2</v>
      </c>
      <c r="G107" s="17" t="n">
        <v>2</v>
      </c>
      <c r="H107" s="17" t="n">
        <v>3</v>
      </c>
      <c r="I107" s="18"/>
    </row>
    <row r="108" customFormat="false" ht="15" hidden="false" customHeight="false" outlineLevel="0" collapsed="false">
      <c r="A108" s="13" t="s">
        <v>238</v>
      </c>
      <c r="B108" s="37" t="s">
        <v>8</v>
      </c>
      <c r="C108" s="13"/>
      <c r="D108" s="23" t="n">
        <v>0</v>
      </c>
      <c r="E108" s="24" t="n">
        <v>0</v>
      </c>
      <c r="F108" s="13" t="n">
        <v>3</v>
      </c>
      <c r="G108" s="13" t="n">
        <v>2</v>
      </c>
      <c r="H108" s="13" t="n">
        <v>3</v>
      </c>
      <c r="I108" s="14"/>
    </row>
    <row r="109" customFormat="false" ht="15" hidden="false" customHeight="false" outlineLevel="0" collapsed="false">
      <c r="A109" s="17" t="s">
        <v>239</v>
      </c>
      <c r="B109" s="37" t="s">
        <v>8</v>
      </c>
      <c r="C109" s="17"/>
      <c r="D109" s="27" t="n">
        <v>0</v>
      </c>
      <c r="E109" s="28" t="n">
        <v>0</v>
      </c>
      <c r="F109" s="17" t="n">
        <v>3</v>
      </c>
      <c r="G109" s="17" t="n">
        <v>2</v>
      </c>
      <c r="H109" s="17" t="n">
        <v>3</v>
      </c>
      <c r="I109" s="18"/>
    </row>
    <row r="110" customFormat="false" ht="15" hidden="false" customHeight="false" outlineLevel="0" collapsed="false">
      <c r="A110" s="13" t="s">
        <v>240</v>
      </c>
      <c r="B110" s="37" t="s">
        <v>8</v>
      </c>
      <c r="C110" s="13"/>
      <c r="D110" s="23" t="n">
        <v>0</v>
      </c>
      <c r="E110" s="24" t="n">
        <v>0</v>
      </c>
      <c r="F110" s="13" t="n">
        <v>3</v>
      </c>
      <c r="G110" s="13" t="n">
        <v>2</v>
      </c>
      <c r="H110" s="13" t="n">
        <v>3</v>
      </c>
      <c r="I110" s="14"/>
    </row>
    <row r="111" customFormat="false" ht="15" hidden="false" customHeight="false" outlineLevel="0" collapsed="false">
      <c r="A111" s="17" t="s">
        <v>241</v>
      </c>
      <c r="B111" s="37" t="s">
        <v>8</v>
      </c>
      <c r="C111" s="17"/>
      <c r="D111" s="27" t="n">
        <v>0</v>
      </c>
      <c r="E111" s="28" t="n">
        <v>0</v>
      </c>
      <c r="F111" s="17" t="n">
        <v>3</v>
      </c>
      <c r="G111" s="17" t="n">
        <v>2</v>
      </c>
      <c r="H111" s="17" t="n">
        <v>3</v>
      </c>
      <c r="I111" s="18"/>
    </row>
    <row r="112" customFormat="false" ht="15" hidden="false" customHeight="false" outlineLevel="0" collapsed="false">
      <c r="A112" s="13" t="s">
        <v>242</v>
      </c>
      <c r="B112" s="37" t="s">
        <v>8</v>
      </c>
      <c r="C112" s="13"/>
      <c r="D112" s="23" t="n">
        <v>0</v>
      </c>
      <c r="E112" s="24" t="n">
        <v>0</v>
      </c>
      <c r="F112" s="13" t="n">
        <v>3</v>
      </c>
      <c r="G112" s="13" t="n">
        <v>2</v>
      </c>
      <c r="H112" s="13" t="n">
        <v>3</v>
      </c>
      <c r="I112" s="14"/>
    </row>
    <row r="113" customFormat="false" ht="15" hidden="false" customHeight="false" outlineLevel="0" collapsed="false">
      <c r="A113" s="17" t="s">
        <v>243</v>
      </c>
      <c r="B113" s="37" t="s">
        <v>8</v>
      </c>
      <c r="C113" s="17"/>
      <c r="D113" s="27" t="n">
        <v>0</v>
      </c>
      <c r="E113" s="28" t="n">
        <v>0</v>
      </c>
      <c r="F113" s="17" t="n">
        <v>3</v>
      </c>
      <c r="G113" s="17" t="n">
        <v>2</v>
      </c>
      <c r="H113" s="17" t="n">
        <v>3</v>
      </c>
      <c r="I113" s="18"/>
    </row>
    <row r="114" customFormat="false" ht="15" hidden="false" customHeight="false" outlineLevel="0" collapsed="false">
      <c r="A114" s="13" t="s">
        <v>244</v>
      </c>
      <c r="B114" s="37" t="s">
        <v>8</v>
      </c>
      <c r="C114" s="13"/>
      <c r="D114" s="23" t="n">
        <v>0</v>
      </c>
      <c r="E114" s="24" t="n">
        <v>0</v>
      </c>
      <c r="F114" s="13" t="n">
        <v>3</v>
      </c>
      <c r="G114" s="13" t="n">
        <v>2</v>
      </c>
      <c r="H114" s="13" t="n">
        <v>3</v>
      </c>
      <c r="I114" s="14"/>
    </row>
    <row r="115" customFormat="false" ht="15" hidden="false" customHeight="false" outlineLevel="0" collapsed="false">
      <c r="A115" s="17" t="s">
        <v>245</v>
      </c>
      <c r="B115" s="37" t="s">
        <v>8</v>
      </c>
      <c r="C115" s="17"/>
      <c r="D115" s="27" t="n">
        <v>0</v>
      </c>
      <c r="E115" s="28" t="n">
        <v>0</v>
      </c>
      <c r="F115" s="17" t="n">
        <v>3</v>
      </c>
      <c r="G115" s="17" t="n">
        <v>3</v>
      </c>
      <c r="H115" s="17" t="n">
        <v>3</v>
      </c>
      <c r="I115" s="18"/>
    </row>
    <row r="116" customFormat="false" ht="15" hidden="false" customHeight="false" outlineLevel="0" collapsed="false">
      <c r="A116" s="13" t="s">
        <v>246</v>
      </c>
      <c r="B116" s="37" t="s">
        <v>8</v>
      </c>
      <c r="C116" s="13"/>
      <c r="D116" s="23" t="n">
        <v>0</v>
      </c>
      <c r="E116" s="24" t="n">
        <v>0</v>
      </c>
      <c r="F116" s="13" t="n">
        <v>3</v>
      </c>
      <c r="G116" s="13" t="n">
        <v>2</v>
      </c>
      <c r="H116" s="13" t="n">
        <v>3</v>
      </c>
      <c r="I116" s="14"/>
    </row>
    <row r="117" customFormat="false" ht="15" hidden="false" customHeight="false" outlineLevel="0" collapsed="false">
      <c r="A117" s="17" t="s">
        <v>247</v>
      </c>
      <c r="B117" s="37" t="s">
        <v>8</v>
      </c>
      <c r="C117" s="17"/>
      <c r="D117" s="27" t="n">
        <v>0</v>
      </c>
      <c r="E117" s="28" t="n">
        <v>0</v>
      </c>
      <c r="F117" s="17" t="n">
        <v>3</v>
      </c>
      <c r="G117" s="17" t="n">
        <v>2</v>
      </c>
      <c r="H117" s="17" t="n">
        <v>3</v>
      </c>
      <c r="I117" s="18"/>
    </row>
    <row r="118" customFormat="false" ht="15" hidden="false" customHeight="false" outlineLevel="0" collapsed="false">
      <c r="A118" s="13" t="s">
        <v>248</v>
      </c>
      <c r="B118" s="37" t="s">
        <v>8</v>
      </c>
      <c r="C118" s="13"/>
      <c r="D118" s="23" t="n">
        <v>0</v>
      </c>
      <c r="E118" s="24" t="n">
        <v>0</v>
      </c>
      <c r="F118" s="13" t="n">
        <v>3</v>
      </c>
      <c r="G118" s="13" t="n">
        <v>3</v>
      </c>
      <c r="H118" s="13" t="n">
        <v>3</v>
      </c>
      <c r="I118" s="14"/>
    </row>
    <row r="119" customFormat="false" ht="15" hidden="false" customHeight="false" outlineLevel="0" collapsed="false">
      <c r="A119" s="17" t="s">
        <v>249</v>
      </c>
      <c r="B119" s="37" t="s">
        <v>8</v>
      </c>
      <c r="C119" s="17"/>
      <c r="D119" s="27" t="n">
        <v>0</v>
      </c>
      <c r="E119" s="28" t="n">
        <v>0</v>
      </c>
      <c r="F119" s="17" t="n">
        <v>2</v>
      </c>
      <c r="G119" s="17" t="n">
        <v>2</v>
      </c>
      <c r="H119" s="17" t="n">
        <v>3</v>
      </c>
      <c r="I119" s="18"/>
    </row>
    <row r="120" customFormat="false" ht="15" hidden="false" customHeight="false" outlineLevel="0" collapsed="false">
      <c r="A120" s="13" t="s">
        <v>250</v>
      </c>
      <c r="B120" s="37" t="s">
        <v>8</v>
      </c>
      <c r="C120" s="13"/>
      <c r="D120" s="23" t="n">
        <v>0</v>
      </c>
      <c r="E120" s="24" t="n">
        <v>0</v>
      </c>
      <c r="F120" s="13" t="n">
        <v>3</v>
      </c>
      <c r="G120" s="13" t="n">
        <v>3</v>
      </c>
      <c r="H120" s="13" t="n">
        <v>3</v>
      </c>
      <c r="I120" s="14"/>
    </row>
    <row r="121" customFormat="false" ht="15" hidden="false" customHeight="false" outlineLevel="0" collapsed="false">
      <c r="A121" s="17" t="s">
        <v>251</v>
      </c>
      <c r="B121" s="37" t="s">
        <v>8</v>
      </c>
      <c r="C121" s="17"/>
      <c r="D121" s="27" t="n">
        <v>0</v>
      </c>
      <c r="E121" s="28" t="n">
        <v>0</v>
      </c>
      <c r="F121" s="17" t="n">
        <v>3</v>
      </c>
      <c r="G121" s="17" t="n">
        <v>3</v>
      </c>
      <c r="H121" s="17" t="n">
        <v>3</v>
      </c>
      <c r="I121" s="18"/>
    </row>
    <row r="122" customFormat="false" ht="15" hidden="false" customHeight="false" outlineLevel="0" collapsed="false">
      <c r="A122" s="13" t="s">
        <v>252</v>
      </c>
      <c r="B122" s="37" t="s">
        <v>8</v>
      </c>
      <c r="C122" s="13"/>
      <c r="D122" s="23" t="n">
        <v>0</v>
      </c>
      <c r="E122" s="24" t="n">
        <v>0</v>
      </c>
      <c r="F122" s="13" t="n">
        <v>3</v>
      </c>
      <c r="G122" s="13" t="n">
        <v>3</v>
      </c>
      <c r="H122" s="13" t="n">
        <v>3</v>
      </c>
      <c r="I122" s="14"/>
    </row>
    <row r="123" customFormat="false" ht="15" hidden="false" customHeight="false" outlineLevel="0" collapsed="false">
      <c r="A123" s="17" t="s">
        <v>253</v>
      </c>
      <c r="B123" s="37" t="s">
        <v>8</v>
      </c>
      <c r="C123" s="17"/>
      <c r="D123" s="27" t="n">
        <v>0</v>
      </c>
      <c r="E123" s="28" t="n">
        <v>0</v>
      </c>
      <c r="F123" s="17" t="n">
        <v>3</v>
      </c>
      <c r="G123" s="17" t="n">
        <v>2</v>
      </c>
      <c r="H123" s="17" t="n">
        <v>3</v>
      </c>
      <c r="I123" s="18"/>
    </row>
    <row r="124" customFormat="false" ht="15" hidden="false" customHeight="false" outlineLevel="0" collapsed="false">
      <c r="A124" s="13" t="s">
        <v>254</v>
      </c>
      <c r="B124" s="37" t="s">
        <v>8</v>
      </c>
      <c r="C124" s="13"/>
      <c r="D124" s="23" t="n">
        <v>0</v>
      </c>
      <c r="E124" s="24" t="n">
        <v>0</v>
      </c>
      <c r="F124" s="13" t="n">
        <v>3</v>
      </c>
      <c r="G124" s="13" t="n">
        <v>2</v>
      </c>
      <c r="H124" s="13" t="n">
        <v>3</v>
      </c>
      <c r="I124" s="14"/>
    </row>
    <row r="125" customFormat="false" ht="15" hidden="false" customHeight="false" outlineLevel="0" collapsed="false">
      <c r="A125" s="17" t="s">
        <v>255</v>
      </c>
      <c r="B125" s="37" t="s">
        <v>8</v>
      </c>
      <c r="C125" s="17"/>
      <c r="D125" s="27" t="n">
        <v>0</v>
      </c>
      <c r="E125" s="28" t="n">
        <v>0</v>
      </c>
      <c r="F125" s="17" t="n">
        <v>3</v>
      </c>
      <c r="G125" s="17" t="n">
        <v>2</v>
      </c>
      <c r="H125" s="17" t="n">
        <v>3</v>
      </c>
      <c r="I125" s="18"/>
    </row>
    <row r="126" customFormat="false" ht="15" hidden="false" customHeight="false" outlineLevel="0" collapsed="false">
      <c r="A126" s="13" t="s">
        <v>256</v>
      </c>
      <c r="B126" s="37" t="s">
        <v>8</v>
      </c>
      <c r="C126" s="13"/>
      <c r="D126" s="23" t="n">
        <v>0</v>
      </c>
      <c r="E126" s="24" t="n">
        <v>0</v>
      </c>
      <c r="F126" s="13" t="n">
        <v>3</v>
      </c>
      <c r="G126" s="13" t="n">
        <v>2</v>
      </c>
      <c r="H126" s="13" t="n">
        <v>3</v>
      </c>
      <c r="I126" s="14"/>
    </row>
    <row r="127" customFormat="false" ht="15" hidden="false" customHeight="false" outlineLevel="0" collapsed="false">
      <c r="A127" s="17" t="s">
        <v>257</v>
      </c>
      <c r="B127" s="37" t="s">
        <v>8</v>
      </c>
      <c r="C127" s="17"/>
      <c r="D127" s="27" t="n">
        <v>0</v>
      </c>
      <c r="E127" s="28" t="n">
        <v>0</v>
      </c>
      <c r="F127" s="17" t="n">
        <v>3</v>
      </c>
      <c r="G127" s="17" t="n">
        <v>2</v>
      </c>
      <c r="H127" s="17" t="n">
        <v>3</v>
      </c>
      <c r="I127" s="18"/>
    </row>
    <row r="128" customFormat="false" ht="15" hidden="false" customHeight="false" outlineLevel="0" collapsed="false">
      <c r="A128" s="13" t="s">
        <v>258</v>
      </c>
      <c r="B128" s="37" t="s">
        <v>8</v>
      </c>
      <c r="C128" s="13"/>
      <c r="D128" s="23" t="n">
        <v>0</v>
      </c>
      <c r="E128" s="24" t="n">
        <v>0</v>
      </c>
      <c r="F128" s="13" t="n">
        <v>3</v>
      </c>
      <c r="G128" s="13" t="n">
        <v>2</v>
      </c>
      <c r="H128" s="13" t="n">
        <v>3</v>
      </c>
      <c r="I128" s="14"/>
    </row>
    <row r="129" customFormat="false" ht="15" hidden="false" customHeight="false" outlineLevel="0" collapsed="false">
      <c r="A129" s="17" t="s">
        <v>259</v>
      </c>
      <c r="B129" s="37" t="s">
        <v>8</v>
      </c>
      <c r="C129" s="17"/>
      <c r="D129" s="27" t="n">
        <v>0</v>
      </c>
      <c r="E129" s="28" t="n">
        <v>0</v>
      </c>
      <c r="F129" s="17" t="n">
        <v>3</v>
      </c>
      <c r="G129" s="17" t="n">
        <v>2</v>
      </c>
      <c r="H129" s="17" t="n">
        <v>3</v>
      </c>
      <c r="I129" s="18"/>
    </row>
    <row r="130" customFormat="false" ht="15" hidden="false" customHeight="false" outlineLevel="0" collapsed="false">
      <c r="A130" s="13" t="s">
        <v>260</v>
      </c>
      <c r="B130" s="37" t="s">
        <v>8</v>
      </c>
      <c r="C130" s="13"/>
      <c r="D130" s="23" t="n">
        <v>0</v>
      </c>
      <c r="E130" s="24" t="n">
        <v>0</v>
      </c>
      <c r="F130" s="13" t="n">
        <v>3</v>
      </c>
      <c r="G130" s="13" t="n">
        <v>2</v>
      </c>
      <c r="H130" s="13" t="n">
        <v>3</v>
      </c>
      <c r="I130" s="14"/>
    </row>
    <row r="131" customFormat="false" ht="15" hidden="false" customHeight="false" outlineLevel="0" collapsed="false">
      <c r="A131" s="17" t="s">
        <v>261</v>
      </c>
      <c r="B131" s="37" t="s">
        <v>8</v>
      </c>
      <c r="C131" s="17"/>
      <c r="D131" s="27" t="n">
        <v>0</v>
      </c>
      <c r="E131" s="28" t="n">
        <v>0</v>
      </c>
      <c r="F131" s="17" t="n">
        <v>3</v>
      </c>
      <c r="G131" s="17" t="n">
        <v>2</v>
      </c>
      <c r="H131" s="17" t="n">
        <v>3</v>
      </c>
      <c r="I131" s="18"/>
    </row>
    <row r="132" customFormat="false" ht="15" hidden="false" customHeight="false" outlineLevel="0" collapsed="false">
      <c r="A132" s="13" t="s">
        <v>262</v>
      </c>
      <c r="B132" s="37" t="s">
        <v>8</v>
      </c>
      <c r="C132" s="13"/>
      <c r="D132" s="23" t="n">
        <v>0</v>
      </c>
      <c r="E132" s="24" t="n">
        <v>0</v>
      </c>
      <c r="F132" s="13" t="n">
        <v>3</v>
      </c>
      <c r="G132" s="13" t="n">
        <v>2</v>
      </c>
      <c r="H132" s="13" t="n">
        <v>3</v>
      </c>
      <c r="I132" s="14"/>
    </row>
    <row r="133" customFormat="false" ht="15" hidden="false" customHeight="false" outlineLevel="0" collapsed="false">
      <c r="A133" s="17" t="s">
        <v>263</v>
      </c>
      <c r="B133" s="37" t="s">
        <v>8</v>
      </c>
      <c r="C133" s="17"/>
      <c r="D133" s="27" t="n">
        <v>0</v>
      </c>
      <c r="E133" s="28" t="n">
        <v>0</v>
      </c>
      <c r="F133" s="17" t="n">
        <v>3</v>
      </c>
      <c r="G133" s="17" t="n">
        <v>2</v>
      </c>
      <c r="H133" s="17" t="n">
        <v>3</v>
      </c>
      <c r="I133" s="18"/>
    </row>
    <row r="134" customFormat="false" ht="15" hidden="false" customHeight="false" outlineLevel="0" collapsed="false">
      <c r="A134" s="13" t="s">
        <v>264</v>
      </c>
      <c r="B134" s="37" t="s">
        <v>8</v>
      </c>
      <c r="C134" s="13"/>
      <c r="D134" s="23" t="n">
        <v>0</v>
      </c>
      <c r="E134" s="24" t="n">
        <v>0</v>
      </c>
      <c r="F134" s="13" t="n">
        <v>3</v>
      </c>
      <c r="G134" s="13" t="n">
        <v>2</v>
      </c>
      <c r="H134" s="13" t="n">
        <v>3</v>
      </c>
      <c r="I134" s="14"/>
    </row>
    <row r="135" customFormat="false" ht="15" hidden="false" customHeight="false" outlineLevel="0" collapsed="false">
      <c r="A135" s="17" t="s">
        <v>265</v>
      </c>
      <c r="B135" s="37" t="s">
        <v>8</v>
      </c>
      <c r="C135" s="17"/>
      <c r="D135" s="27" t="n">
        <v>0</v>
      </c>
      <c r="E135" s="28" t="n">
        <v>0</v>
      </c>
      <c r="F135" s="17" t="n">
        <v>3</v>
      </c>
      <c r="G135" s="17" t="n">
        <v>2</v>
      </c>
      <c r="H135" s="17" t="n">
        <v>3</v>
      </c>
      <c r="I135" s="18"/>
    </row>
    <row r="136" customFormat="false" ht="15" hidden="false" customHeight="false" outlineLevel="0" collapsed="false">
      <c r="A136" s="13" t="s">
        <v>266</v>
      </c>
      <c r="B136" s="37" t="s">
        <v>8</v>
      </c>
      <c r="C136" s="13"/>
      <c r="D136" s="23" t="n">
        <v>0</v>
      </c>
      <c r="E136" s="24" t="n">
        <v>0</v>
      </c>
      <c r="F136" s="13" t="n">
        <v>3</v>
      </c>
      <c r="G136" s="13" t="n">
        <v>2</v>
      </c>
      <c r="H136" s="13" t="n">
        <v>3</v>
      </c>
      <c r="I136" s="14"/>
    </row>
    <row r="137" customFormat="false" ht="15" hidden="false" customHeight="false" outlineLevel="0" collapsed="false">
      <c r="A137" s="17" t="s">
        <v>267</v>
      </c>
      <c r="B137" s="37" t="s">
        <v>8</v>
      </c>
      <c r="C137" s="17"/>
      <c r="D137" s="27" t="n">
        <v>0</v>
      </c>
      <c r="E137" s="28" t="n">
        <v>0</v>
      </c>
      <c r="F137" s="17" t="n">
        <v>3</v>
      </c>
      <c r="G137" s="17" t="n">
        <v>2</v>
      </c>
      <c r="H137" s="17" t="n">
        <v>3</v>
      </c>
      <c r="I137" s="18"/>
    </row>
    <row r="138" customFormat="false" ht="15" hidden="false" customHeight="false" outlineLevel="0" collapsed="false">
      <c r="A138" s="13" t="s">
        <v>268</v>
      </c>
      <c r="B138" s="37" t="s">
        <v>8</v>
      </c>
      <c r="C138" s="13"/>
      <c r="D138" s="23" t="n">
        <v>0</v>
      </c>
      <c r="E138" s="24" t="n">
        <v>0</v>
      </c>
      <c r="F138" s="13" t="n">
        <v>3</v>
      </c>
      <c r="G138" s="13" t="n">
        <v>2</v>
      </c>
      <c r="H138" s="13" t="n">
        <v>3</v>
      </c>
      <c r="I138" s="14"/>
    </row>
    <row r="139" customFormat="false" ht="15" hidden="false" customHeight="false" outlineLevel="0" collapsed="false">
      <c r="A139" s="17" t="s">
        <v>269</v>
      </c>
      <c r="B139" s="37" t="s">
        <v>8</v>
      </c>
      <c r="C139" s="17"/>
      <c r="D139" s="27" t="n">
        <v>0</v>
      </c>
      <c r="E139" s="28" t="n">
        <v>0</v>
      </c>
      <c r="F139" s="17" t="n">
        <v>3</v>
      </c>
      <c r="G139" s="17" t="n">
        <v>2</v>
      </c>
      <c r="H139" s="17" t="n">
        <v>3</v>
      </c>
      <c r="I139" s="18"/>
    </row>
    <row r="140" customFormat="false" ht="15" hidden="false" customHeight="false" outlineLevel="0" collapsed="false">
      <c r="A140" s="13" t="s">
        <v>270</v>
      </c>
      <c r="B140" s="37" t="s">
        <v>8</v>
      </c>
      <c r="C140" s="13"/>
      <c r="D140" s="23" t="n">
        <v>0</v>
      </c>
      <c r="E140" s="24" t="n">
        <v>0</v>
      </c>
      <c r="F140" s="13" t="n">
        <v>3</v>
      </c>
      <c r="G140" s="13" t="n">
        <v>2</v>
      </c>
      <c r="H140" s="13" t="n">
        <v>3</v>
      </c>
      <c r="I140" s="14"/>
    </row>
    <row r="141" customFormat="false" ht="15" hidden="false" customHeight="false" outlineLevel="0" collapsed="false">
      <c r="A141" s="17" t="s">
        <v>271</v>
      </c>
      <c r="B141" s="37" t="s">
        <v>8</v>
      </c>
      <c r="C141" s="17"/>
      <c r="D141" s="27" t="n">
        <v>0</v>
      </c>
      <c r="E141" s="28" t="n">
        <v>0</v>
      </c>
      <c r="F141" s="17" t="n">
        <v>3</v>
      </c>
      <c r="G141" s="17" t="n">
        <v>3</v>
      </c>
      <c r="H141" s="17" t="n">
        <v>3</v>
      </c>
      <c r="I141" s="18"/>
    </row>
    <row r="142" customFormat="false" ht="15" hidden="false" customHeight="false" outlineLevel="0" collapsed="false">
      <c r="A142" s="13" t="s">
        <v>272</v>
      </c>
      <c r="B142" s="37" t="s">
        <v>8</v>
      </c>
      <c r="C142" s="13"/>
      <c r="D142" s="23" t="n">
        <v>0</v>
      </c>
      <c r="E142" s="24" t="n">
        <v>0</v>
      </c>
      <c r="F142" s="13" t="n">
        <v>3</v>
      </c>
      <c r="G142" s="13" t="n">
        <v>3</v>
      </c>
      <c r="H142" s="13" t="n">
        <v>3</v>
      </c>
      <c r="I142" s="14"/>
    </row>
    <row r="143" customFormat="false" ht="15" hidden="false" customHeight="false" outlineLevel="0" collapsed="false">
      <c r="A143" s="17" t="s">
        <v>273</v>
      </c>
      <c r="B143" s="37" t="s">
        <v>8</v>
      </c>
      <c r="C143" s="17"/>
      <c r="D143" s="27" t="n">
        <v>0</v>
      </c>
      <c r="E143" s="28" t="n">
        <v>0</v>
      </c>
      <c r="F143" s="17" t="n">
        <v>3</v>
      </c>
      <c r="G143" s="17" t="n">
        <v>2</v>
      </c>
      <c r="H143" s="17" t="n">
        <v>3</v>
      </c>
      <c r="I143" s="18"/>
    </row>
    <row r="144" customFormat="false" ht="15" hidden="false" customHeight="false" outlineLevel="0" collapsed="false">
      <c r="A144" s="13" t="s">
        <v>274</v>
      </c>
      <c r="B144" s="37" t="s">
        <v>8</v>
      </c>
      <c r="C144" s="13"/>
      <c r="D144" s="23" t="n">
        <v>0</v>
      </c>
      <c r="E144" s="24" t="n">
        <v>0</v>
      </c>
      <c r="F144" s="13" t="n">
        <v>3</v>
      </c>
      <c r="G144" s="13" t="n">
        <v>2</v>
      </c>
      <c r="H144" s="13" t="n">
        <v>3</v>
      </c>
      <c r="I144" s="14"/>
    </row>
    <row r="145" customFormat="false" ht="15" hidden="false" customHeight="false" outlineLevel="0" collapsed="false">
      <c r="A145" s="17" t="s">
        <v>275</v>
      </c>
      <c r="B145" s="37" t="s">
        <v>8</v>
      </c>
      <c r="C145" s="17"/>
      <c r="D145" s="27" t="n">
        <v>0</v>
      </c>
      <c r="E145" s="28" t="n">
        <v>0</v>
      </c>
      <c r="F145" s="17" t="n">
        <v>3</v>
      </c>
      <c r="G145" s="17" t="n">
        <v>2</v>
      </c>
      <c r="H145" s="17" t="n">
        <v>3</v>
      </c>
      <c r="I145" s="18"/>
    </row>
    <row r="146" customFormat="false" ht="15" hidden="false" customHeight="false" outlineLevel="0" collapsed="false">
      <c r="A146" s="13" t="s">
        <v>276</v>
      </c>
      <c r="B146" s="37" t="s">
        <v>8</v>
      </c>
      <c r="C146" s="13"/>
      <c r="D146" s="23" t="n">
        <v>0</v>
      </c>
      <c r="E146" s="24" t="n">
        <v>0</v>
      </c>
      <c r="F146" s="13" t="n">
        <v>3</v>
      </c>
      <c r="G146" s="13" t="n">
        <v>2</v>
      </c>
      <c r="H146" s="13" t="n">
        <v>3</v>
      </c>
      <c r="I146" s="14"/>
    </row>
    <row r="147" customFormat="false" ht="15" hidden="false" customHeight="false" outlineLevel="0" collapsed="false">
      <c r="A147" s="17" t="s">
        <v>277</v>
      </c>
      <c r="B147" s="37" t="s">
        <v>8</v>
      </c>
      <c r="C147" s="17"/>
      <c r="D147" s="27" t="n">
        <v>0</v>
      </c>
      <c r="E147" s="28" t="n">
        <v>0</v>
      </c>
      <c r="F147" s="17" t="n">
        <v>3</v>
      </c>
      <c r="G147" s="17" t="n">
        <v>2</v>
      </c>
      <c r="H147" s="17" t="n">
        <v>3</v>
      </c>
      <c r="I147" s="18"/>
    </row>
    <row r="148" customFormat="false" ht="15" hidden="false" customHeight="false" outlineLevel="0" collapsed="false">
      <c r="A148" s="13" t="s">
        <v>278</v>
      </c>
      <c r="B148" s="37" t="s">
        <v>8</v>
      </c>
      <c r="C148" s="13"/>
      <c r="D148" s="23" t="n">
        <v>0</v>
      </c>
      <c r="E148" s="24" t="n">
        <v>0</v>
      </c>
      <c r="F148" s="13" t="n">
        <v>3</v>
      </c>
      <c r="G148" s="13" t="n">
        <v>2</v>
      </c>
      <c r="H148" s="13" t="n">
        <v>3</v>
      </c>
      <c r="I148" s="14"/>
    </row>
    <row r="149" customFormat="false" ht="15" hidden="false" customHeight="false" outlineLevel="0" collapsed="false">
      <c r="A149" s="17" t="s">
        <v>279</v>
      </c>
      <c r="B149" s="37" t="s">
        <v>8</v>
      </c>
      <c r="C149" s="17"/>
      <c r="D149" s="27" t="n">
        <v>0</v>
      </c>
      <c r="E149" s="28" t="n">
        <v>0</v>
      </c>
      <c r="F149" s="17" t="n">
        <v>3</v>
      </c>
      <c r="G149" s="17" t="n">
        <v>2</v>
      </c>
      <c r="H149" s="17" t="n">
        <v>3</v>
      </c>
      <c r="I149" s="18"/>
    </row>
    <row r="150" customFormat="false" ht="15" hidden="false" customHeight="false" outlineLevel="0" collapsed="false">
      <c r="A150" s="13" t="s">
        <v>280</v>
      </c>
      <c r="B150" s="37" t="s">
        <v>8</v>
      </c>
      <c r="C150" s="13"/>
      <c r="D150" s="23" t="n">
        <v>0</v>
      </c>
      <c r="E150" s="24" t="n">
        <v>0</v>
      </c>
      <c r="F150" s="13" t="n">
        <v>3</v>
      </c>
      <c r="G150" s="13" t="n">
        <v>2</v>
      </c>
      <c r="H150" s="13" t="n">
        <v>3</v>
      </c>
      <c r="I150" s="14"/>
    </row>
    <row r="151" customFormat="false" ht="15" hidden="false" customHeight="false" outlineLevel="0" collapsed="false">
      <c r="A151" s="17" t="s">
        <v>281</v>
      </c>
      <c r="B151" s="37" t="s">
        <v>8</v>
      </c>
      <c r="C151" s="17"/>
      <c r="D151" s="27" t="n">
        <v>0</v>
      </c>
      <c r="E151" s="28" t="n">
        <v>0</v>
      </c>
      <c r="F151" s="17" t="n">
        <v>3</v>
      </c>
      <c r="G151" s="17" t="n">
        <v>2</v>
      </c>
      <c r="H151" s="17" t="n">
        <v>3</v>
      </c>
      <c r="I151" s="18"/>
    </row>
    <row r="152" customFormat="false" ht="15" hidden="false" customHeight="false" outlineLevel="0" collapsed="false">
      <c r="A152" s="13" t="s">
        <v>282</v>
      </c>
      <c r="B152" s="37" t="s">
        <v>8</v>
      </c>
      <c r="C152" s="13"/>
      <c r="D152" s="23" t="n">
        <v>0</v>
      </c>
      <c r="E152" s="24" t="n">
        <v>0</v>
      </c>
      <c r="F152" s="13" t="n">
        <v>3</v>
      </c>
      <c r="G152" s="13" t="n">
        <v>2</v>
      </c>
      <c r="H152" s="13" t="n">
        <v>3</v>
      </c>
      <c r="I152" s="14"/>
    </row>
    <row r="153" customFormat="false" ht="15" hidden="false" customHeight="false" outlineLevel="0" collapsed="false">
      <c r="A153" s="17" t="s">
        <v>283</v>
      </c>
      <c r="B153" s="37" t="s">
        <v>8</v>
      </c>
      <c r="C153" s="17"/>
      <c r="D153" s="27" t="n">
        <v>0</v>
      </c>
      <c r="E153" s="28" t="n">
        <v>0</v>
      </c>
      <c r="F153" s="17" t="n">
        <v>3</v>
      </c>
      <c r="G153" s="17" t="n">
        <v>2</v>
      </c>
      <c r="H153" s="17" t="n">
        <v>3</v>
      </c>
      <c r="I153" s="18"/>
    </row>
    <row r="154" customFormat="false" ht="15" hidden="false" customHeight="false" outlineLevel="0" collapsed="false">
      <c r="A154" s="13" t="s">
        <v>284</v>
      </c>
      <c r="B154" s="37" t="s">
        <v>8</v>
      </c>
      <c r="C154" s="13"/>
      <c r="D154" s="23" t="n">
        <v>0</v>
      </c>
      <c r="E154" s="24" t="n">
        <v>0</v>
      </c>
      <c r="F154" s="13" t="n">
        <v>3</v>
      </c>
      <c r="G154" s="13" t="n">
        <v>3</v>
      </c>
      <c r="H154" s="13" t="n">
        <v>3</v>
      </c>
      <c r="I154" s="14"/>
    </row>
    <row r="155" customFormat="false" ht="15" hidden="false" customHeight="false" outlineLevel="0" collapsed="false">
      <c r="A155" s="17" t="s">
        <v>285</v>
      </c>
      <c r="B155" s="37" t="s">
        <v>8</v>
      </c>
      <c r="C155" s="17"/>
      <c r="D155" s="27" t="n">
        <v>0</v>
      </c>
      <c r="E155" s="28" t="n">
        <v>0</v>
      </c>
      <c r="F155" s="17" t="n">
        <v>3</v>
      </c>
      <c r="G155" s="17" t="n">
        <v>2</v>
      </c>
      <c r="H155" s="17" t="n">
        <v>3</v>
      </c>
      <c r="I155" s="18"/>
    </row>
    <row r="156" customFormat="false" ht="15" hidden="false" customHeight="false" outlineLevel="0" collapsed="false">
      <c r="A156" s="13" t="s">
        <v>286</v>
      </c>
      <c r="B156" s="37" t="s">
        <v>8</v>
      </c>
      <c r="C156" s="13"/>
      <c r="D156" s="23" t="n">
        <v>0</v>
      </c>
      <c r="E156" s="24" t="n">
        <v>0</v>
      </c>
      <c r="F156" s="13" t="n">
        <v>3</v>
      </c>
      <c r="G156" s="13" t="n">
        <v>2</v>
      </c>
      <c r="H156" s="13" t="n">
        <v>3</v>
      </c>
      <c r="I156" s="14"/>
    </row>
    <row r="157" customFormat="false" ht="15" hidden="false" customHeight="false" outlineLevel="0" collapsed="false">
      <c r="A157" s="17" t="s">
        <v>287</v>
      </c>
      <c r="B157" s="37" t="s">
        <v>8</v>
      </c>
      <c r="C157" s="17"/>
      <c r="D157" s="27" t="n">
        <v>0</v>
      </c>
      <c r="E157" s="28" t="n">
        <v>0</v>
      </c>
      <c r="F157" s="17" t="n">
        <v>3</v>
      </c>
      <c r="G157" s="17" t="n">
        <v>2</v>
      </c>
      <c r="H157" s="17" t="n">
        <v>3</v>
      </c>
      <c r="I157" s="18"/>
    </row>
    <row r="158" customFormat="false" ht="15" hidden="false" customHeight="false" outlineLevel="0" collapsed="false">
      <c r="A158" s="13" t="s">
        <v>288</v>
      </c>
      <c r="B158" s="37" t="s">
        <v>8</v>
      </c>
      <c r="C158" s="13"/>
      <c r="D158" s="23" t="n">
        <v>0</v>
      </c>
      <c r="E158" s="24" t="n">
        <v>0</v>
      </c>
      <c r="F158" s="13" t="n">
        <v>3</v>
      </c>
      <c r="G158" s="13" t="n">
        <v>3</v>
      </c>
      <c r="H158" s="13" t="n">
        <v>3</v>
      </c>
      <c r="I158" s="14"/>
    </row>
    <row r="159" customFormat="false" ht="15" hidden="false" customHeight="false" outlineLevel="0" collapsed="false">
      <c r="A159" s="17" t="s">
        <v>289</v>
      </c>
      <c r="B159" s="37" t="s">
        <v>8</v>
      </c>
      <c r="C159" s="17"/>
      <c r="D159" s="27" t="n">
        <v>0</v>
      </c>
      <c r="E159" s="28" t="n">
        <v>0</v>
      </c>
      <c r="F159" s="17" t="n">
        <v>3</v>
      </c>
      <c r="G159" s="17" t="n">
        <v>2</v>
      </c>
      <c r="H159" s="17" t="n">
        <v>3</v>
      </c>
      <c r="I159" s="18"/>
    </row>
    <row r="160" customFormat="false" ht="15" hidden="false" customHeight="false" outlineLevel="0" collapsed="false">
      <c r="A160" s="13" t="s">
        <v>290</v>
      </c>
      <c r="B160" s="37" t="s">
        <v>8</v>
      </c>
      <c r="C160" s="13"/>
      <c r="D160" s="23" t="n">
        <v>0</v>
      </c>
      <c r="E160" s="24" t="n">
        <v>0</v>
      </c>
      <c r="F160" s="13" t="n">
        <v>3</v>
      </c>
      <c r="G160" s="13" t="n">
        <v>2</v>
      </c>
      <c r="H160" s="13" t="n">
        <v>3</v>
      </c>
      <c r="I160" s="14"/>
    </row>
    <row r="161" customFormat="false" ht="15" hidden="false" customHeight="false" outlineLevel="0" collapsed="false">
      <c r="A161" s="17" t="s">
        <v>291</v>
      </c>
      <c r="B161" s="37" t="s">
        <v>8</v>
      </c>
      <c r="C161" s="17"/>
      <c r="D161" s="27" t="n">
        <v>0</v>
      </c>
      <c r="E161" s="28" t="n">
        <v>0</v>
      </c>
      <c r="F161" s="17" t="n">
        <v>3</v>
      </c>
      <c r="G161" s="17" t="n">
        <v>2</v>
      </c>
      <c r="H161" s="17" t="n">
        <v>3</v>
      </c>
      <c r="I161" s="18"/>
    </row>
    <row r="162" customFormat="false" ht="15" hidden="false" customHeight="false" outlineLevel="0" collapsed="false">
      <c r="A162" s="13" t="s">
        <v>292</v>
      </c>
      <c r="B162" s="37" t="s">
        <v>8</v>
      </c>
      <c r="C162" s="13"/>
      <c r="D162" s="23" t="n">
        <v>0</v>
      </c>
      <c r="E162" s="24" t="n">
        <v>0</v>
      </c>
      <c r="F162" s="13" t="n">
        <v>3</v>
      </c>
      <c r="G162" s="13" t="n">
        <v>3</v>
      </c>
      <c r="H162" s="13" t="n">
        <v>3</v>
      </c>
      <c r="I162" s="14"/>
    </row>
    <row r="163" customFormat="false" ht="15" hidden="false" customHeight="false" outlineLevel="0" collapsed="false">
      <c r="A163" s="17" t="s">
        <v>293</v>
      </c>
      <c r="B163" s="37" t="s">
        <v>8</v>
      </c>
      <c r="C163" s="17"/>
      <c r="D163" s="27" t="n">
        <v>0</v>
      </c>
      <c r="E163" s="28" t="n">
        <v>0</v>
      </c>
      <c r="F163" s="17" t="n">
        <v>3</v>
      </c>
      <c r="G163" s="17" t="n">
        <v>2</v>
      </c>
      <c r="H163" s="17" t="n">
        <v>3</v>
      </c>
      <c r="I163" s="18"/>
    </row>
    <row r="164" customFormat="false" ht="15" hidden="false" customHeight="false" outlineLevel="0" collapsed="false">
      <c r="A164" s="13" t="s">
        <v>294</v>
      </c>
      <c r="B164" s="37" t="s">
        <v>8</v>
      </c>
      <c r="C164" s="13"/>
      <c r="D164" s="23" t="n">
        <v>0</v>
      </c>
      <c r="E164" s="24" t="n">
        <v>0</v>
      </c>
      <c r="F164" s="13" t="n">
        <v>3</v>
      </c>
      <c r="G164" s="13" t="n">
        <v>3</v>
      </c>
      <c r="H164" s="13" t="n">
        <v>3</v>
      </c>
      <c r="I164" s="14"/>
    </row>
    <row r="165" customFormat="false" ht="15" hidden="false" customHeight="false" outlineLevel="0" collapsed="false">
      <c r="A165" s="17" t="s">
        <v>295</v>
      </c>
      <c r="B165" s="37" t="s">
        <v>8</v>
      </c>
      <c r="C165" s="17"/>
      <c r="D165" s="27" t="n">
        <v>0</v>
      </c>
      <c r="E165" s="28" t="n">
        <v>0</v>
      </c>
      <c r="F165" s="17" t="n">
        <v>3</v>
      </c>
      <c r="G165" s="17" t="n">
        <v>2</v>
      </c>
      <c r="H165" s="17" t="n">
        <v>3</v>
      </c>
      <c r="I165" s="18"/>
    </row>
    <row r="166" customFormat="false" ht="15" hidden="false" customHeight="false" outlineLevel="0" collapsed="false">
      <c r="A166" s="13" t="s">
        <v>296</v>
      </c>
      <c r="B166" s="37" t="s">
        <v>8</v>
      </c>
      <c r="C166" s="13"/>
      <c r="D166" s="23" t="n">
        <v>0</v>
      </c>
      <c r="E166" s="24" t="n">
        <v>0</v>
      </c>
      <c r="F166" s="13" t="n">
        <v>3</v>
      </c>
      <c r="G166" s="13" t="n">
        <v>3</v>
      </c>
      <c r="H166" s="13" t="n">
        <v>3</v>
      </c>
      <c r="I166" s="14"/>
    </row>
    <row r="167" customFormat="false" ht="15" hidden="false" customHeight="false" outlineLevel="0" collapsed="false">
      <c r="A167" s="17" t="s">
        <v>297</v>
      </c>
      <c r="B167" s="37" t="s">
        <v>8</v>
      </c>
      <c r="C167" s="17"/>
      <c r="D167" s="27" t="n">
        <v>0</v>
      </c>
      <c r="E167" s="28" t="n">
        <v>0</v>
      </c>
      <c r="F167" s="17" t="n">
        <v>3</v>
      </c>
      <c r="G167" s="17" t="n">
        <v>2</v>
      </c>
      <c r="H167" s="17" t="n">
        <v>3</v>
      </c>
      <c r="I167" s="18"/>
    </row>
    <row r="168" customFormat="false" ht="15" hidden="false" customHeight="false" outlineLevel="0" collapsed="false">
      <c r="A168" s="13" t="s">
        <v>298</v>
      </c>
      <c r="B168" s="37" t="s">
        <v>8</v>
      </c>
      <c r="C168" s="13"/>
      <c r="D168" s="23" t="n">
        <v>0</v>
      </c>
      <c r="E168" s="24" t="n">
        <v>0</v>
      </c>
      <c r="F168" s="13" t="n">
        <v>3</v>
      </c>
      <c r="G168" s="13" t="n">
        <v>2</v>
      </c>
      <c r="H168" s="13" t="n">
        <v>3</v>
      </c>
      <c r="I168" s="14"/>
    </row>
    <row r="169" customFormat="false" ht="15" hidden="false" customHeight="false" outlineLevel="0" collapsed="false">
      <c r="A169" s="17" t="s">
        <v>299</v>
      </c>
      <c r="B169" s="37" t="s">
        <v>8</v>
      </c>
      <c r="C169" s="17"/>
      <c r="D169" s="27" t="n">
        <v>0</v>
      </c>
      <c r="E169" s="28" t="n">
        <v>0</v>
      </c>
      <c r="F169" s="17" t="n">
        <v>3</v>
      </c>
      <c r="G169" s="17" t="n">
        <v>2</v>
      </c>
      <c r="H169" s="17" t="n">
        <v>3</v>
      </c>
      <c r="I169" s="18"/>
    </row>
    <row r="170" customFormat="false" ht="15" hidden="false" customHeight="false" outlineLevel="0" collapsed="false">
      <c r="A170" s="13" t="s">
        <v>300</v>
      </c>
      <c r="B170" s="37" t="s">
        <v>8</v>
      </c>
      <c r="C170" s="13"/>
      <c r="D170" s="23" t="n">
        <v>0</v>
      </c>
      <c r="E170" s="24" t="n">
        <v>0</v>
      </c>
      <c r="F170" s="13" t="n">
        <v>3</v>
      </c>
      <c r="G170" s="13" t="n">
        <v>2</v>
      </c>
      <c r="H170" s="13" t="n">
        <v>3</v>
      </c>
      <c r="I170" s="14"/>
    </row>
    <row r="171" customFormat="false" ht="15" hidden="false" customHeight="false" outlineLevel="0" collapsed="false">
      <c r="A171" s="17" t="s">
        <v>301</v>
      </c>
      <c r="B171" s="37" t="s">
        <v>8</v>
      </c>
      <c r="C171" s="17"/>
      <c r="D171" s="27" t="n">
        <v>0</v>
      </c>
      <c r="E171" s="28" t="n">
        <v>0</v>
      </c>
      <c r="F171" s="17" t="n">
        <v>3</v>
      </c>
      <c r="G171" s="17" t="n">
        <v>3</v>
      </c>
      <c r="H171" s="17" t="n">
        <v>3</v>
      </c>
      <c r="I171" s="18"/>
    </row>
    <row r="172" customFormat="false" ht="15" hidden="false" customHeight="false" outlineLevel="0" collapsed="false">
      <c r="A172" s="13" t="s">
        <v>302</v>
      </c>
      <c r="B172" s="37" t="s">
        <v>8</v>
      </c>
      <c r="C172" s="13"/>
      <c r="D172" s="23" t="n">
        <v>0</v>
      </c>
      <c r="E172" s="24" t="n">
        <v>0</v>
      </c>
      <c r="F172" s="13" t="n">
        <v>3</v>
      </c>
      <c r="G172" s="13" t="n">
        <v>2</v>
      </c>
      <c r="H172" s="13" t="n">
        <v>3</v>
      </c>
      <c r="I172" s="14"/>
    </row>
    <row r="173" customFormat="false" ht="15" hidden="false" customHeight="false" outlineLevel="0" collapsed="false">
      <c r="A173" s="17" t="s">
        <v>303</v>
      </c>
      <c r="B173" s="37" t="s">
        <v>8</v>
      </c>
      <c r="C173" s="17"/>
      <c r="D173" s="27" t="n">
        <v>0</v>
      </c>
      <c r="E173" s="28" t="n">
        <v>0</v>
      </c>
      <c r="F173" s="17" t="n">
        <v>3</v>
      </c>
      <c r="G173" s="17" t="n">
        <v>2</v>
      </c>
      <c r="H173" s="17" t="n">
        <v>3</v>
      </c>
      <c r="I173" s="18"/>
    </row>
    <row r="174" customFormat="false" ht="15" hidden="false" customHeight="false" outlineLevel="0" collapsed="false">
      <c r="A174" s="13" t="s">
        <v>304</v>
      </c>
      <c r="B174" s="37" t="s">
        <v>8</v>
      </c>
      <c r="C174" s="13"/>
      <c r="D174" s="23" t="n">
        <v>0</v>
      </c>
      <c r="E174" s="24" t="n">
        <v>0</v>
      </c>
      <c r="F174" s="13" t="n">
        <v>3</v>
      </c>
      <c r="G174" s="13" t="n">
        <v>2</v>
      </c>
      <c r="H174" s="13" t="n">
        <v>3</v>
      </c>
      <c r="I174" s="14"/>
    </row>
    <row r="175" customFormat="false" ht="15" hidden="false" customHeight="false" outlineLevel="0" collapsed="false">
      <c r="A175" s="17" t="s">
        <v>305</v>
      </c>
      <c r="B175" s="37" t="s">
        <v>8</v>
      </c>
      <c r="C175" s="17"/>
      <c r="D175" s="27" t="n">
        <v>0</v>
      </c>
      <c r="E175" s="28" t="n">
        <v>0</v>
      </c>
      <c r="F175" s="17" t="n">
        <v>3</v>
      </c>
      <c r="G175" s="17" t="n">
        <v>2</v>
      </c>
      <c r="H175" s="17" t="n">
        <v>3</v>
      </c>
      <c r="I175" s="18"/>
    </row>
    <row r="176" customFormat="false" ht="15" hidden="false" customHeight="false" outlineLevel="0" collapsed="false">
      <c r="A176" s="13" t="s">
        <v>306</v>
      </c>
      <c r="B176" s="37" t="s">
        <v>8</v>
      </c>
      <c r="C176" s="13"/>
      <c r="D176" s="23" t="n">
        <v>0</v>
      </c>
      <c r="E176" s="24" t="n">
        <v>0</v>
      </c>
      <c r="F176" s="13" t="n">
        <v>3</v>
      </c>
      <c r="G176" s="13" t="n">
        <v>3</v>
      </c>
      <c r="H176" s="13" t="n">
        <v>3</v>
      </c>
      <c r="I176" s="14"/>
    </row>
  </sheetData>
  <autoFilter ref="A1:I1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0" t="s">
        <v>307</v>
      </c>
      <c r="B1" s="10" t="s">
        <v>308</v>
      </c>
    </row>
    <row r="2" customFormat="false" ht="29.85" hidden="false" customHeight="false" outlineLevel="0" collapsed="false">
      <c r="A2" s="11" t="s">
        <v>188</v>
      </c>
      <c r="B2" s="14" t="s">
        <v>309</v>
      </c>
    </row>
    <row r="3" customFormat="false" ht="29.85" hidden="false" customHeight="false" outlineLevel="0" collapsed="false">
      <c r="A3" s="15" t="s">
        <v>177</v>
      </c>
      <c r="B3" s="18" t="s">
        <v>310</v>
      </c>
    </row>
    <row r="4" customFormat="false" ht="29.85" hidden="false" customHeight="false" outlineLevel="0" collapsed="false">
      <c r="A4" s="11" t="s">
        <v>182</v>
      </c>
      <c r="B4" s="14" t="s">
        <v>311</v>
      </c>
    </row>
    <row r="5" customFormat="false" ht="29.85" hidden="false" customHeight="false" outlineLevel="0" collapsed="false">
      <c r="A5" s="15" t="s">
        <v>185</v>
      </c>
      <c r="B5" s="18" t="s">
        <v>312</v>
      </c>
    </row>
    <row r="6" customFormat="false" ht="15" hidden="false" customHeight="false" outlineLevel="0" collapsed="false">
      <c r="A6" s="11" t="s">
        <v>187</v>
      </c>
      <c r="B6" s="14" t="s">
        <v>313</v>
      </c>
    </row>
    <row r="7" customFormat="false" ht="15" hidden="false" customHeight="false" outlineLevel="0" collapsed="false">
      <c r="A7" s="15" t="s">
        <v>173</v>
      </c>
      <c r="B7" s="18" t="s">
        <v>314</v>
      </c>
    </row>
    <row r="8" customFormat="false" ht="15" hidden="false" customHeight="false" outlineLevel="0" collapsed="false">
      <c r="A8" s="11" t="s">
        <v>175</v>
      </c>
      <c r="B8" s="14" t="s">
        <v>315</v>
      </c>
    </row>
    <row r="9" customFormat="false" ht="15" hidden="false" customHeight="false" outlineLevel="0" collapsed="false">
      <c r="A9" s="15" t="s">
        <v>176</v>
      </c>
      <c r="B9" s="18" t="s">
        <v>316</v>
      </c>
    </row>
    <row r="10" customFormat="false" ht="15" hidden="false" customHeight="false" outlineLevel="0" collapsed="false">
      <c r="A10" s="11" t="s">
        <v>183</v>
      </c>
      <c r="B10" s="14" t="s">
        <v>317</v>
      </c>
    </row>
    <row r="11" customFormat="false" ht="15" hidden="false" customHeight="false" outlineLevel="0" collapsed="false">
      <c r="A11" s="15" t="s">
        <v>184</v>
      </c>
      <c r="B11" s="18" t="s">
        <v>318</v>
      </c>
    </row>
    <row r="12" customFormat="false" ht="15" hidden="false" customHeight="false" outlineLevel="0" collapsed="false">
      <c r="A12" s="11" t="s">
        <v>181</v>
      </c>
      <c r="B12" s="14" t="s">
        <v>319</v>
      </c>
    </row>
    <row r="13" customFormat="false" ht="15" hidden="false" customHeight="false" outlineLevel="0" collapsed="false">
      <c r="A13" s="15" t="s">
        <v>171</v>
      </c>
      <c r="B13" s="18" t="s">
        <v>320</v>
      </c>
    </row>
    <row r="14" customFormat="false" ht="29.85" hidden="false" customHeight="false" outlineLevel="0" collapsed="false">
      <c r="A14" s="11" t="s">
        <v>179</v>
      </c>
      <c r="B14" s="14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2026-08-14T05:39:42Z</dcterms:created>
  <dc:creator>openpyxl</dc:creator>
  <dc:description/>
  <dc:language>en-US</dc:language>
  <cp:lastModifiedBy/>
  <dcterms:modified xsi:type="dcterms:W3CDTF">2026-08-14T05:39:42Z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